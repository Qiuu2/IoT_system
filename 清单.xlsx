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180"/>
  </bookViews>
  <sheets>
    <sheet name="会议" sheetId="1" r:id="rId1"/>
  </sheets>
  <definedNames>
    <definedName name="_xlnm._FilterDatabase" localSheetId="0" hidden="1">会议!$A$2:$K$147</definedName>
    <definedName name="_xlnm.Print_Area" localSheetId="0">会议!$A$1:$K$147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<sst xmlns="http://schemas.openxmlformats.org/spreadsheetml/2006/main" count="629" uniqueCount="199">
  <si>
    <t>多媒体会议系统</t>
  </si>
  <si>
    <t>序号</t>
  </si>
  <si>
    <t>设备名称</t>
  </si>
  <si>
    <t>设备参数</t>
  </si>
  <si>
    <t>单位</t>
  </si>
  <si>
    <t>工程量</t>
  </si>
  <si>
    <t>型号</t>
  </si>
  <si>
    <t>名称</t>
  </si>
  <si>
    <t>主要技术参数</t>
  </si>
  <si>
    <t>最近报价</t>
  </si>
  <si>
    <t>报价合计</t>
  </si>
  <si>
    <t>备注</t>
  </si>
  <si>
    <t>电源时序器</t>
  </si>
  <si>
    <t>1）通道数量：≥8路；
2）电源输入：≥32A空开保护；
3）电源输出：≥8路，每路≥13A，采用带安全防护门多功能插座，整机最大负载≥40A；</t>
  </si>
  <si>
    <t>台</t>
  </si>
  <si>
    <t>EC-PNC809</t>
  </si>
  <si>
    <t>8路网络时序电源</t>
  </si>
  <si>
    <t>1、整机容量50A ，配置德力西双极63A空开，提供过流短路保护功能。
2、8路电源时序控制，每路延时1秒，可选择为3秒、10秒。共提供8+1个插座输出，紫铜铜片，万能插座适合各种插头。支持2台机器级联，且第二台可无限扩展。
3、MCU控制的智能化设计，具有标准标准网络接口，支持TCP/UDP控制功能。
4、具有外部电平(5V-24V)控制接口、外部开关控制，和级联控口. 
5、数码LED电压指示，具备超压和欠压警示功能，当电压高于245V或者低于195V闪亮警示。
6、每路输出均可单独控制开关，亦可将单独控制的开关进行锁定，以免误操作。
7、面板具备可控制的USB供电插口（5V/100mA），供USB  DJ灯照明用。
8、电源 AC 220V/50Hz，单相3线。
9、输出 Channel 1~8,共8个万能插座，每个插座10A。
10、网络控制规格 
A.ARM 内核，精⼼优化的 TCP/IP 协议栈，稳定可靠 .
B.10Mbps⽹⼝，⽀持Auto-MDI/MDIX，交叉直连⽹线⾃适应 .
C.⽀持TCPServer、TCPClient、UDPClient、UDPServer工作模式。
11、面板控制支持时序控制开关，独立控制开关
12、尺寸(宽×深×高) 482x180x44mm</t>
  </si>
  <si>
    <t>辅材</t>
  </si>
  <si>
    <t>管材、线材、接插件、机柜、音箱架</t>
  </si>
  <si>
    <t>项</t>
  </si>
  <si>
    <t>三、1F培训教室（三）（155.92㎡）</t>
  </si>
  <si>
    <t>8进8出HDMI 4K无缝矩阵</t>
  </si>
  <si>
    <t>1）≥8X8HDMI信号，支持输入到输出无缝快速切换；
2）支持输入输出支持HDMI1.4，最高分辨率≥3840x2160@30Hz；
3）每路输出有独立音频解嵌
4）支持TCP/IP RS232，前面板，双向串口控制、按键、RJ45控制等多种控制方式</t>
  </si>
  <si>
    <t>高清矩阵8路</t>
  </si>
  <si>
    <t>EMeta-JZ-M0808S</t>
  </si>
  <si>
    <t>最大输入通道数8，最大输出通道数8
1、支持多路输入到多路输出无缝快速切换；
2、支持输入输出支持HDMI1.4；
3、最高输入分辨率3840x2160@60Hz；输出 3840x2160@30Hz；
4、输色彩空间支持RGB, YCbCr4:4:4,YCbCr4:2:2，其中3840x2160@60Hz为YCbCr4:2:0；输出色彩空间支持RGB；
5、输入内置8种EDID，1920x1080@60Hz 双声道（默认），支持自定义EDID；
6、输入兼容DVI / HDMI信号；
7、默认9种输出分辨率可选；
8、输出信号格式支持HDMI、DVI；
9、支持断电记忆功能；
10、支持HDMI接口连续热拔插；
11、支持待机，低功耗候命；
12、支持双向串口控制、面板按键控制，可选配网口控制；
13、1U高度19英寸标准机柜安装机箱；</t>
  </si>
  <si>
    <t>四、1F智慧教室（157.19㎡）</t>
  </si>
  <si>
    <t>七、2F多功能培训室（149.11㎡）</t>
  </si>
  <si>
    <t>十二、3F会议室（一）（173㎡）</t>
  </si>
  <si>
    <t>会议发言扩声系统</t>
  </si>
  <si>
    <t>十三、3F会议室（二）（87.12㎡）</t>
  </si>
  <si>
    <t>十四、3F会议室（三）（88.56㎡）</t>
  </si>
  <si>
    <t>十五、3F多功能厅（338㎡）</t>
  </si>
  <si>
    <t>信号管理综合运维管理系统</t>
  </si>
  <si>
    <t>高清混合管理矩阵</t>
  </si>
  <si>
    <t>1）≥16*16混合矩阵，采用FPGA架构，内部自建核心运算机制，无内嵌操作系统；
2）总线交换技术，每路信号采用单独通道进行传输，保证所有信号图像的实时显示；</t>
  </si>
  <si>
    <t>智能插卡中控主机</t>
  </si>
  <si>
    <t>EMeta-WL5000</t>
  </si>
  <si>
    <t>1、工业级64位嵌入式CPU，四核 Cortex-A7，2G内存，存储8G
2、6寸 彩色液晶屏接口状态实时监测；
3、插卡式设计，8个扩展卡槽；
4、4重热备机制，双卡热备，双电热备，双网热备，多机热备；
5、设备状态实时反馈。
6、集成主流传统拼控可视化回显，开窗，漫游，预案保存，调用；
7、集成了华为、腾讯ROOMS等主流视频会议控制；
8、集成了主流音频处理器，音量控制， 电平回显 ，幻象电源，音频矩阵切换，压缩，降噪，反馈抑制等；
9、集成了视频矩阵信号实时回显；
10、集成了AI语音控制，应答；
11、集成了分布式H264/265可视化回显，开窗，漫游，预案保存，调用；
12、集成了分布式JEP2000可视化回显，信号源切换；
13、集成了分布式SDVOE（浅压）可视化回显，信号源切换；
14、支持全国产操作系统使用；
15、集成了蓝牙及UWB定位导览；
16、集成了可视化多媒体播控控制；
17、集成了主流会讨主机可视化控制；
18、兼容红外控制、RS-232、RS-485、UDP、TCP、telnet、http、MQTT以及SNMP等多种协议，可对接第三方设备。
19、操作人员可在控制端查看所有设备开关状态，设备受控情况一目了然，大大减轻操作人员工作强度，使用更加人性化。
20、用户可通过控制端查看会议摄像机画面预览，并根据会议画面对设备进行调整，同时可查看多路画面。
21、具备音频增益、电平实时图形化显示。用户可以通过控制端音频推子调节音量
22、双机热备份。当中控主机出现故障时，备用中控主机自动承担服务，切换时间小于1.2s，从而保证系统在不需要人工干预的情况下能正常运行。
23、中控主机可根据传感器采集数据和预设数据进行比对，从而自动控制空调或加湿器等设备，使环境维持在舒适的温湿度范围内。
24、能通过互联网控制。中控主机在连接互联网的情况下，用户可操作手机或平板等移动端通过互联网实现对中控主机远程控制。
25、可以通过语音控制。中控主机可搭配语音控制软件或支持对接主机的第三方语音采集设备，通过将语音转换成中控指令，实现对周边设备控制或场景调用。
26、 可以通过扫二维码控制。中控主机在连接互联网的情况下会在云平台自动生成二维码，通过微信或者浏览器扫一扫二维码，即可进入控制界面，实现对中控主机控制。支持密码权限设置。
27、能够进行定时控制。用户可预先设置定时控制任务，到达指定时间后，中控主机自动执行控制任务。
28、视频矩阵可视化控制。用户可通过控制端实时预览、拖动并切换矩阵视频信号，支持设置触碰和投放触发切换方式。
29、拼接处理器或分布式系统可视化控制。用户可通过控制端实时预览、放大、缩小、拖动等方式实现大屏幕的开窗、漫游、信号切换，可对输入信号源进行置底、置顶以及一键清屏等操作，支持设置触碰和投放触发切换方式。
30、电脑远程控制。当中控主机和电脑在同一局域网情况下，用户可通过控制端APP实时对电脑远程桌面控制并查看电脑工作状态。
31、对接云会务系统。用户通过手机APP或WEB端预约会议室时，可设置情景类型以及开始/结束时间。会议开始前，系统会自动调用场景，场景内所有设备联动启动或切换；会议结束后设备自动关闭。
32、具备可视化图形设计器，支持控制界面可视化自定义（包含窗体、容器、组态按钮、推子、电平表、视频信号预览列表、大屏、显示器等组件），设备接口定义可视化，设备拓扑图编辑可视化，可拖拽进行设置，实现所见及所得，用户可自定义修改；
33、可视化图形设计器自定义编辑的可视化控制界面，可同时支持Android、鸿蒙、IOS、windows、统信、麒麟等操作系统
34、能够实时查看中控主机运行状态，包括CPU、内存、网络等运行状态
35、能够接入物联运维管理系统，实现统一集中运维管控</t>
  </si>
  <si>
    <t>4路 无缝 HDMI信号输入卡</t>
  </si>
  <si>
    <t>1）单卡≥四路HDMI输入卡：
2）支持HDMI, DVI-D，支持1080P
3）板卡支持输入信号自动识别
4）输入支持字符叠加功能
5）支持HDMI1.3, HDCP保护协议
6）输入支持色度、亮度、对比度、色温以及锐度值设置
7）输入支持音频加嵌功能</t>
  </si>
  <si>
    <t>块</t>
  </si>
  <si>
    <t>插卡中控-4路输入4路输出卡</t>
  </si>
  <si>
    <t>EMeta-WL5000-RH</t>
  </si>
  <si>
    <t>1、支持4路HDMI2.0输入、4路HDMI2.0输出视频矩阵功能；</t>
  </si>
  <si>
    <t>4路 无缝 HDMI信号输出卡</t>
  </si>
  <si>
    <t>1）单卡≥四路HDMI无缝输出卡：
2）输出支持HDMI, DVI-D
3）输出支持HDCP, EDID管理
4）输出最多支持≥36种分辨率
5）输出支持音频解嵌
6）可与其他输入卡一起搭配实现无缝切换
7）输出支持简单拼接</t>
  </si>
  <si>
    <t>综合运维控制平台</t>
  </si>
  <si>
    <t>以会议室管理为核心，集控制、预警、智能维护等功能于一体的会议系统综合运维管理平台：
1）具有≥16个100M/1000M自适应以太网控制端口，全网络架构，可通过网络交换机扩展，不受接口数量和传输距离限制，支持无线和有线以太网远程控制；
2）具有≥2个双向RS232接口，可直接连接受控设备或控制面板；
3）具有≥1路USB接口，可用于升级系统或传输多媒体文件；
4）具有≥1路HDMI、1路音频输出接口，内置会前提醒视频文件（可通过控制终端控制播放）和紧急疏散视频文件（可接入消防报警联动播放）；</t>
  </si>
  <si>
    <t>插卡中控-核心板</t>
  </si>
  <si>
    <t>EMeta-WL5000-CORE</t>
  </si>
  <si>
    <t>1.工业级64位嵌入式CPU，四核 Cortex-A7，2G内存，存储8G
2、2路千兆网口，光电热备
3、1路音频输入，集成AI语音控制；
4、1路音频输出，集成AI语音控制应答；
5、2路RS232及2路RS485;
6、1路4K@60视频输入预览口；</t>
  </si>
  <si>
    <t>系统监测模块</t>
  </si>
  <si>
    <t>1）状态监测与预警系统：实时采集设备运行状态、性能指标、使用时长以及环境温湿度等关键数据，在控制终端界面上可视化展示。
2）通过智能分析可实时识别并定位异常情况，自动划分故障等级，及时向控制终端推送故障消息及针对性的排查与处理建议，优化故障响应流程，提升运维的效率和响应速度，确保会议室的正常运作；</t>
  </si>
  <si>
    <t>套</t>
  </si>
  <si>
    <t>定制</t>
  </si>
  <si>
    <t>日志及查询模块</t>
  </si>
  <si>
    <t>1）日志记录：设备的运行、操作、故障等信息会被统计记录，其中异常的发生时间、发生设备和异常状态等信息会被全面详细记录于事件中心，并标记已读未读，确保不漏过每一个异常，方便追溯设备异常原因；
2）日志查询：事件中心可按设备名称或起止时间查询事件条目；</t>
  </si>
  <si>
    <t>资产管理模块</t>
  </si>
  <si>
    <t>1）扫一扫：使用具有摄像头的控制终端扫描设备二维码，可快速获得相应设备的品牌、型号、操作说明书等各种信息，方便随时调阅；
2）资产管理：展示会议资产在会议室的分布情况，点击任一设备可查看包括品牌、型号、所属空间、启用日期、质保期、操作说明书和设置参数等详细信息；</t>
  </si>
  <si>
    <t>联网扩展模块（12口）</t>
  </si>
  <si>
    <t>1）≥两个10M/100M以太网口，2KV级浪涌保护，支持级联扩展
2）支持≥12组RS232/RS485/RS422接口，可独立全双工工作，互不干扰，可配置为不同的波特率。
3）支持 TCP Server、TCP Client，UDP 模式和 UDP 组播
4）支持 CTS/RTS 硬件流控和 XON/XOFF 软流控
5）同时支持串口和网络两种方式进行配置，支持跨网段配置与搜索设备</t>
  </si>
  <si>
    <t>个</t>
  </si>
  <si>
    <t>八串口服务器</t>
  </si>
  <si>
    <t>EMeta-RS6608</t>
  </si>
  <si>
    <t xml:space="preserve">1、工作电压： AC 85~265 V， 50/60Hz
2、功耗≤ 1.6W
3、支持RJ45、10/100Mbps、交叉直连自适应
4、支持网口数≥2
5、支持串口规格为RJ45
6、串口数 ≥8 * RS232/RS485/RS422
7、支持串口波特率 300-115.2K（bps）
8、网络协议支持 IP、TCP/UDP、ARP、ICMP、IPV4、HTTP、SSL
9、IP获取方式支持静态IP、DHCP
10、支持域名解析,可自定义DNS服务器地址
11、支持软件配置，网页配置，AT指令配置
12、支持简单透传方式 ，包含但不限于TCP Server/TCP Client/SSL Client；UDP Server/UDP Client/ Httpd Client
13、支持类RFC2217 
14、网络缓存≥10Kbyte
15、串口缓存≥10Kbyte
16、平均传输延时≥50ms
17、支持虚拟串口、透传云、参数设置软件
18、支持 50ms打包时间，1472字节的打包长度
</t>
  </si>
  <si>
    <t>红外存储网络模块</t>
  </si>
  <si>
    <t>1）内设≥1个TCP/UDP网络接口和1个红外端口  
2）同时可在模块内存储≥200组红外数据   
3）可以通过TCP/UDP方式调取红外信号；</t>
  </si>
  <si>
    <t>网络八路红外扩展器</t>
  </si>
  <si>
    <t>EMeta-IR-8RJ45</t>
  </si>
  <si>
    <t>通讯接口:RJ45、RS485
工作电压:DC12V
工作温度:-40℃~55℃
待机功耗电流:0.2A
最大功耗电流:0.3A
红外输出:38K红外发射
模块尺寸:115/95/40mm安装孔尺寸:105/70mm(支持导轨安装)产品净重:约150g</t>
  </si>
  <si>
    <t>网络电源控制器</t>
  </si>
  <si>
    <t>1）≥8路继电器，每路均具有COM/NC/NO接线端子；
2）每路接通电流：20A，分断电流：30A；
3）控制端口：网络（RJ45）×1路，双向RS232×1路（DB9）；RS485×1路（5.08端子）；</t>
  </si>
  <si>
    <t>8路网络继电器</t>
  </si>
  <si>
    <t>EMeta-REL08-1U</t>
  </si>
  <si>
    <t xml:space="preserve">网口机架式控制，集成8路继电器30A+8路现场控制按钮；支持二次开发协议，局域网支持TCP、UDP、Modbus-tcp协议，对接服务器协议 MQTT、HTTP支持定制协议。
1、通讯接口：工业级以太网接口，自适应10~100M，双供电方式，方便集成。
2、电源：DC 7~36V
3、尺寸：183mm*430mm*45mm
4、按键：可控制输出，可主动上传
5、继电器输出：支持常开常闭、点动脉冲、顺序动作。5.08端子每路包含常开、常闭、公共端。控制电压：AC≤277VDC≤36V，控制电流≤30A
6、常开常闭：通过发送指令控制继电器的导通断开，可接现场按钮控制继电器开关
7、点动控制：点动脉冲输出，脉冲时间100ms-60分钟可调，可以控制闸机、卷帘、水泵、电子锁、电脑等设备，也可以实现继电器顺序断开
8、延时控制：延时动作，每路延迟时间可调节，主要实现一条指令实现多个集电器顺序导通，防止瞬间电流过大，如LED巨屏电源控制、音箱等
9、定时控制（定制功能）：离线定时，不受网络影像，可设置16组定时，内置精准时钟模组，偏差小
10、场景模式：可通过一条指令实现任意几个继电器的导通、断开、保持原创
11、联动控制：可实现开关量、模拟量、控制继电器的动作，比如接现场按钮、实现手动控制继电器通断，接近开关自动控制继电器动作
12、支持定制可编程
</t>
  </si>
  <si>
    <t>智能电源监测管理器</t>
  </si>
  <si>
    <t>1）≥2英寸液晶显示屏，实时显示当前电压，通道开关状态，总电流，设备IP地址，网络连接状态，查询温度，湿度，自带蜂鸣器，面板按键指示灯显示；
2）电源输入：≥32A空开保护；
3）电源输出：≥8路，每路≥13A，采用带安全防护门多功能插座，整机最大负载≥40A；</t>
  </si>
  <si>
    <t>21路智能时序电源</t>
  </si>
  <si>
    <t>EMeta-PNC218</t>
  </si>
  <si>
    <t>1、21路电源控制，包含16路时序控制+两路常开（可发码控制）+3路内置强电继电器模块/或3路DC模块。输出AC220V(10A)采用万能插座，适用各种类型插头。
2、提供开放的串口通迅协议，同时提供了一款功能灵活的Windows PC上位机机控制软件，可使用PC机通过网络或RS232方式，对1台及多台机进行编程控制，满足您的系统控制需要。
3、整机额定容量60A,配置C型双极63A空气开关以提供过流过载保护，保证系统的供电安全。
4、带电流电压监测功能，除用于机器面板实时显示外，同时将监测的电压电流参数通过网络或RS232接口上传，以便控制中心监测管理。
5、标配户外路灯级别的防雷防浪涌模块，当直击雷/感应雷在建筑物附近发生时，给予系统设备强有力的保护。
6、内置3路强电模块，用于窗帘/吊杆/投影幕升降架的控制。亦可选配3路DC电源模块（DC24V20A/DC12V20A/DC5V20A),向显示器/平板/无线话筒等直流用电设备提供高品质的直流电源输出。
7、可用机内按键设置时序工作时某两路之间延时时间，最长可达999秒钟（约16分钟），满足一些特殊设备(投影机)的特殊要求；可恢复出厂设置。
8、19英寸，2U标准机箱，铝合金面板。
9、电源 AC 220V/50Hz 单相
10、总容量 Maximal 60A
11、外部控制 标准RS232 
12、面板控制支持翘板开关
13、输出：Channel 1~18,10A万能插座
14、RS232控制性能指标：波特率：2400-9600-19200-38400/数据位：8/校验位：无/停止位：1
15、防雷器性能指标：额定冲击电压:10KV /最大冲击电压:20KV/保护水平（残压）: &lt;0.99KV/响应时间:25nS/防护等级:三级
16、尺寸(宽×深×高) 482x290x88mm
17、重量  7kg</t>
  </si>
  <si>
    <t>平板</t>
  </si>
  <si>
    <t>1）8G+128G WiFi版
2）屏幕尺寸：11英寸
3）分辨率：2560*1600
4）支持IPv6：支持IPv6
5）系统：HarmonyOS</t>
  </si>
  <si>
    <t>路由器</t>
  </si>
  <si>
    <t>千兆4口路由器</t>
  </si>
  <si>
    <t>十六、4F会议室（一）（200㎡）</t>
  </si>
  <si>
    <t>十七、4F无纸化智慧会议室（127.22㎡）</t>
  </si>
  <si>
    <t>全数字化会议系统主机</t>
  </si>
  <si>
    <t>1）支持专用电缆手拉手连接或Cat5e线缆手拉手连接；
2）系统主机双CPU架构的核心处理IC，控制DSP和AD/DA转换IC提供两路音频线路输入输出和录音输入输出功能；
3）内置自动通讯终止功能，防止系统中某段线缆被拔掉而导致整个系统崩溃；</t>
  </si>
  <si>
    <t>EM-PM-CHM9</t>
  </si>
  <si>
    <t>数字会议主机</t>
  </si>
  <si>
    <t xml:space="preserve">1.显示屏：1.77寸显示屏
2.话筒单元：具有4组8路RJ45的话筒单元接口
3.CONTRAL：1路SWITCH接口；1路ID接口；1路RS232接口
4.CAMETA：1路RS232接口；1路RS485接口
5.模拟音频输出：3芯XLR平衡输出；3芯凤凰端子平衡输出*2
6.模拟音频输入：3芯凤凰端子平衡输入*2
7.消防报警接口：1路ALARM接口
8.网络：1路RJ45接口
9.按键：1个UP按键；1个ESC按键；1个DOWN按键
10.旋钮:1个编码器旋钮
11.指示灯：发言人数指示灯；音频指示灯
功能参数：
1. 采用数字会议技术，基于数字网络架构开发，内置高性能CPU处理器，处理速度更快，音质更佳，支持讨论、视像跟踪等功能；
2. 高性能开关电源供电，长距离传输对音质不会有任何影响；
3. 抗干扰电路设计，杜绝一切手机信号的干扰；
4. 具有4组共8路RJ45的话筒单元接口，采用闭环以太网链接模式，支持话筒单元的双边供电；
5. 发言人数限制功能：可以限定最多同时发言的单元数量（可设置为1-6不同数量），主席单元不受限制；
6. 网络化协作管理，系统主机可设置IP地址，具有TCP/IP网络接口，可连接无线路由器，使用同一局域网内的电脑、手机、平板等设备对主机进行操作设置；
7. 具有摄像头232和485通讯接口，连接摄像头，支持VISCA，PELCO-D，PELCO-P多种摄像机控制协议；
8. 角色分离接口：1路角色分离接口,自动识别系统中发言人的角色,系统对发言内容进行语音转写时,识别结果自动生成对应角色名称；
9. 具有视频切换接口，可连接高清视频矩阵；
10. 具有中控代码232接口，可连接中控系统；
11. 具有3路平衡音频输出接口，可连接扩声或录音设备；
12. 具有2路平衡音频输入接口，可输入外部音频信号（如：背景音乐或远程语音信号）；
13. 具有警报信号输入接口，当公共广播警报系统启动时，可自动暂停会议，并向与会单元发送警报信息；
14. 可安装于19英寸标准机柜上，易于存放和保管。
</t>
  </si>
  <si>
    <t>嵌入式全数字化会议主席发言单元</t>
  </si>
  <si>
    <t xml:space="preserve">1）嵌入式安装，可独立使用；
2）主席单元具有优先权按键及会议控制功能；
3）系统具有自动修复功能，支持线路的“热插拔”；
4）具备抗手机干扰功能；
</t>
  </si>
  <si>
    <t>EM-PM-CHM9T1</t>
  </si>
  <si>
    <t>升降器数字会议话筒</t>
  </si>
  <si>
    <t>1.网络：2路RJ45接口
2.输入电压：24V
3.串口：2路232串口
功能参数：
1、单元套板为无源设备，由系统主机供电，输入电压为24V，属安全范围；
2、单元套板采用双RJ45接口，“手拉手”Cat5/6e网线连接方式，方便安装和维护；
3、采用防干扰电路设计，可防止手机等电子产品的干扰；
4、软体硅胶机械开关设计，按下后图案常亮发光绿色；
5、主席单元不受发言人数限制，主席单元具有全权控制会议秩序的优先功能，主席单元的连接位置不受限制，一个系统可以支持多个主席单元同时使用。
6、单元套板具备2路串口输出，可直连升降电机，实现设备升降控制。</t>
  </si>
  <si>
    <t>嵌入式全数字化会议代表发言单元</t>
  </si>
  <si>
    <t>话筒杆</t>
  </si>
  <si>
    <t xml:space="preserve">1）麦克风类型：超心形指向性驻极体，≥16mm镀金电容音头
2）灵敏度：≥-37 dBV/Pa
3）频率响应：低频≤20 Hz，高频≥20 kHz  </t>
  </si>
  <si>
    <t>支</t>
  </si>
  <si>
    <t>20米延长网线专用线</t>
  </si>
  <si>
    <t>用于系统主机与会议单元延长连接线，20米</t>
  </si>
  <si>
    <t>条</t>
  </si>
  <si>
    <t>转换电缆</t>
  </si>
  <si>
    <t>1米8芯to RJ45转换电缆</t>
  </si>
  <si>
    <t>接线地座</t>
  </si>
  <si>
    <t xml:space="preserve">1）用于线路预埋连接会议单元 
2）所有插座均带地线绝缘隔离，确保地线独立 </t>
  </si>
  <si>
    <t>无纸化系统（双显）</t>
  </si>
  <si>
    <t>智能会议文件管理服务器</t>
  </si>
  <si>
    <t>通过局域网对一个会议室或者多个会议室（视软件而定）的多媒体智能无纸化无纸化系统进行集中有效的管理，提高多媒体无纸化无纸化系统会务信息交互传输、管理和信息备份。智能会议文件管理服务器（安装无纸会议系统后台管理程序软件V1.0）对会议室内终端的文件进行管理和分发，提高会议系统会务信息交互传输、管理和信息安全备份的能力。负责会议文件的处理，主要完成支持会议终端屏幕上的签到、表决、文件投影、文件同屏、文件批注等功能，会议过程文件可实时存储在智能无纸化会议服务器内部。护接地提供；外壳主要是金属材料，电源线采用可拆卸连接方式，断开装置为器具耦合器。</t>
  </si>
  <si>
    <t>无纸化会议系统服务器</t>
  </si>
  <si>
    <t>EMeta-PMS220</t>
  </si>
  <si>
    <t>1.CPU≥I7四代，主频≥3.6GHz
2.内存容量≥16GB
3.硬盘≥1TB固态硬盘
4.千兆网口≥2个
5.前面板接口包含但不限于：≥2*USB2.0;≥ 1*电源开关; ≥1*重启开关; ≥1*电源指示灯; ≥1*硬盘指示灯
6.背面板接口包含但不限于：≥1*HDMI；≥1*VGA；≥2*COM口；≥2*网口；≥4*USB3.0；≥2*USB2.0；≥1*3.5mm输入口；≥1*3.5mm输出口；≥1*ps/2接口；≥1*电源接口；≥1*电源开关</t>
  </si>
  <si>
    <t>无纸化会议系统后台管理程序软件</t>
  </si>
  <si>
    <t>1）运行环境基于CS架构+BS运用，经我方确认后可接入第三方软件协同运行，软件界面分辨率1920*1080；
2）支持设置多个管理员，不同的管理员可设置密码登录，超级管理员为最高权限，其他管理员之间设置会议相互保密；</t>
  </si>
  <si>
    <t>无纸化会议系统</t>
  </si>
  <si>
    <t>EMeta-PMS</t>
  </si>
  <si>
    <t>1. ★拥有无纸化软件著作权证书；
2. ★支持windows、Android、鸿蒙、麒麟系统及跨系统混用[提供系统截图]；
3. ★支持与同品牌会务管理系统无缝对接，拓展普通会议室时无需重复建设[提供系统截图]； 
4. ★支持对多个无纸化会议室的管理，每个会议室每天可以创建多个会议；
5. ★服务端及终端支持中英文多语言自由切换[提供系统截图]；
6. ★支持通过PC端、移动端多端进行会议预约；
7. ★支持会前会议日历、会议预约、会议创建、会议启动、会议取消、会议延后等功能；
8. 我的日历：支持展示近一个月的会议信息，不少于4种筛选方式，包含并不限于主题名称、会议开始、会议结束时间、会议时长、预约人；
9. 终端管理：支持统一管理终端设备，不少于7种终端类型，包含并不限于会议终端、信息发布终端、侯会播报终端、服务交互终端、会议公告终端等；
10. 会议审批:支持显示会议审批列表，其中会议信息不少于7种，包含并不限于会议日期、会议时间、会议主题、预约人、流程名称、详情、审批；
11. 会议预约：PC端支持B/S架构，采用浏览器访问系统进行会议预约及会务管理；
12. ★移动端支持与企业微信、微信公众号、钉钉集成；支持与已有助理类工作APP进行集成；集成后具备会议预约、会议查询、会议审批等会务功能 [提供系统截图] ；
13. ★支持OA系统、OutLook对接、Exchange对接等多种方式，获取会议预约数据；
14. ★支持OA系统对接、门禁系统对接、企业微信对接、钉钉对接、第三方对接、接口对接、文件同步等多种方式，使单位的组织架构、用户与系统的组织架构、使用用户一对一对应，并支持定期同步更新；
15. 会议状态：支持可视化显示会议室每天各时段会议状态，使用颜色区分会议室的会议时段、空闲时段、维修时段等，便于用户快速甄别会议室的状态，在会议室空闲时段可以快速预约；支持按月、周等形式对会议日历进行排布，支持显示跨天会议的完整时间段，支持以时间节点的形式展示当天所有的会议，按照时间倒序的形式进行展示。
16. ★支持创建会议时快速选择参会人员，自定义设置参会人员的会议角色权限，如：会议主席、会议秘书、参会人员的角色；
17. ★支持一个会议创建多个会议议题，支持每个议题上传关联多个会议资料，会议资料支持Office文档类、PDF类、图片类、视频类文件资源，
18. ★支持每个议题都可以设置不同的参会人员及会议秘书、会议主席[提供系统截图]
19. ★通过权限支持配置每位参会人员在指定议题下的会议资料查看权限；[提供系统截图]会议中议题切换时会议终端能够根据设置自动切换参会人员；
20. ★支持参会人员无感签到，同时支持多种传统签到模式。
21. ★支持参会人员排位功能，支持整场会议同一排位，也支持每个议题参会人员不同排位；排位使用可视化的方式实现，支持参会人员位置调换；[提供系统截图]
22. ★支持为每个会议室独立设置审批流程；
23. ★支持对会议室的审批流程以钉钉消息通知的方式通知到审批人手机上；
24. ★支持为每个会议室设置会议审批管理员；[提供系统截图]
25. ★支持创建周期会议，重复频率包含每天、每个工作日、每周、每月等；[提供系统截图]
26. ★支持将创建的会议保存为模板；[提供系统截图]
27. ★支持使用已保存的会议模板进行会议创建，使用模板会议创建后参会人员、会议通知模式、会议议题、参会人员排位等信息自动显示；[提供系统截图]
28. 会议服务：支持创建会议室选择需要准备的会议服务；
29. ★支持通过电话、短信、邮件、微信、钉钉的多种方式对参会人员进行通知；[提供系统截图]
30. 会议提醒：针对会议通知支持灵活设置提醒的时间，会议通知模板可以自定义编辑；
31. 会议议题：支持会议议题顺序调整，会议议题顺序调整时会议资料跟随调整；
32. ★支持参会人员排位功能，既支持整场会议同一排位，也支持每个议题参会人员不同排位；排位使用可视化的方式实现，支持参会人员位置调换；[提供系统截图]
33. 我的会议：显示我创建的会议和我参加的会议信息，包含并不限于会议开始时间、结束时间、实际开始时间、实际结束时间、会议室、欢迎界面、电子桌牌、会议标语、预约人、会议主席、会议秘书、会议主题、会议通知、会议调整、启动、详情等；
34. 会议调整：会议未启动前可以修改会议信息、议题、会议资料等，可以为每个会议设置选择不同的欢迎界面、会议标语；
35. ★支持在管理后台控制会议启动、结束、取消，可以控制侯会信息播报屏进行会议语音播报及会议议题语音播报；[提供系统截图]
36. ★支持统一管理多个评分，实时查看评分过程与结果，控制投票结果实时投票展示。支持投票导出功能。
37. ★支持通过管理后台创建投票表决项，支持多种投票模式，支持自定义设置每项投票时长；[提供系统截图]
38. ★支持每一项投票自定义参与投票的参会人员；[提供系统截图]
39. 资料补充：支持会后资料上传，可将会后补充文件、会后决议等进行会议资料补充；
40. 资料整理：支持会议资料整理，会议结束后一键打包会前、会中、会后所有资料，包括签到信息、投票结果、投票明细、会议纪要、批注资料等，可以对会议资料一键销毁；投票结果支持文字和图表两种方式进行展示，展示的信息包含总人数、已表决人数、已投票人数、总票数等信息；投票明细支持以列表的形式展示每个参与者的表决结果、表决意见等信息。
41. ★支持会中记录的会议纪要内容导出为标准会议纪要word，记录有会议基本信息、会议议题、发言人及发言内容；[提供系统截图]
42. ★支持会议过程中，组建多个分组对不同的会议资料同屏讨论；[提供系统截图]
43. ★支持会议过程中，对外部信号的预览、查看、同屏功能；[提供系统截图]
44. ★支持终端同屏、终端投屏的审批控制；[提供系统截图]
45. ★支持会议主席、会议秘书可快速选择任意终端进行投屏操作；[提供系统截图]
46. ★支持会议过程中，无纸化终端或外部信号源投屏至多个不同屏幕；[提供系统截图]
47. ★支持使用日历的显示方式查看参会人员会议日程安排，参会人员能够访问系统查看会议安排，提供便捷的会议日程提醒；
48. 会议室类型：支持灵活定义会议室类型，可以按照会议室类型作为筛选条件快速查找会议室；
49. ★支持使用可视化设计工具对会议室真实布局进行绘制，可根据真实会议室场景平面图作为底图，按照真实布局对固定资产摆放、无纸化终端摆放及终端绑定，在会议室布局图上可以进行参会人员模拟排位，会议终端显示人员；[提供系统截图]
50. ★支持通过管理后台对会议室终端管理，支持一键开关机和升降控制，支持分组开关机和升降控制；[提供系统截图]
51. ★支持利用可视化设计工具，对无纸化终端会议启动的欢迎界面、电子桌牌进行自定义设计，包括布局、背景图、文字，可以设置层级关系、文字大小、颜色、对齐方式，会议标题、姓名、职务自动根据会议设置更新显示；[提供系统截图]
52. 欢迎界面管理：支持每场会议设置一个不同的欢迎界面，满足会议室日常开会不同主题显示定制化欢迎致辞的业务需求；
53. ★支持一个会议室设置多个屏幕，屏幕能够支持拼接管理，无纸化终端和外部信号可以投放显示到不同的屏幕；每个屏幕支持全屏、二分屏、四分屏的显示模式；[提供系统截图]
54. 会议标语管理：支持横幅标语与会议室的绑定关联，横幅标语内容用户通过可视化组件自己配置，启动会议后自动投屏。
55. ★支持无纸化会议终端按照会议室分组绑定，可监测终端的联机状态、运行状态，自定义终端名称、显示终端IP，可一键在线快速升级终端软件版本；[提供系统截图]
56. 侯会播报管理：支持候会信息播报终端管理，可以设置需要播报显示的会议室，可监测终端的联机状态、运行状态；支持自动、手动两种方式语音播报会议主题、会议状态、会议议题、参会人员等内容。
57. 后勤管理：支持会议服务交互终端与会议室的绑定关联，实现不同的会议室服务响应传达到指定会议服务终端；
58. 组织管理：支持企业的组织架构维护，可以按照实际的组织架构一一对应管理，分多级管理；
59. ★支持无纸化会议组织管理功能：针对组织架构分类分层级管理。系统具备手动录入、Excel导入、OA系统对接、钉钉对接等多种数据同步方式。
60. ★支持在一级组织架构设置LOGO图标，系统管理服务器端和会议终端可以自动更新获取LOGO；
61. ★支持会议信息显示屏，开机可显示会议室名称、全天会议安排及本次会议、下场会议主题等信息；
62. ★支持针对会议室的状态，可视化设计信息显示屏的筹备中、签到中、会议中、空闲中不同状态下的显示内容[提供系统截图]；
63. ★支持可视化组件对会议信息屏显示内容进行灵活排版；[提供系统截图]
64. ★可视化组件包含的内容包括但不限于：人脸检测组件、会议列表组件、已签到人员组件、图片组件、视频组件、文本组件、时间轴组件、时钟表盘组件、时间文本组件、按钮组件、天气组件、环境监测组件、会议二维码组件等[提供系统截图]；
65. ★可视化组件要求支持变量的配置，内置可选的围绕会议信息变量不少于20个[提供系统截图]；
66. ★可视化组件要求支持按钮的配置，配置动作不少于5个；[提供系统截图]
67. ★支持会议信息显示屏与会议室绑定，可监测终端的联机状态、运行状态；[提供系统截图]
68. ★系统除可自定义会议信息显示屏内容外，还支持不少于10种内置风格模板树。支持所有的会议信息显示屏显示统一风格，也支持每个会议信息显示屏显示不同的风格；[提供系统截图]
69. ★系统支持通过会议信息显示屏，实现人脸识别签到、扫描二维码签到、手写补签功能；
70. ★系统支持与占空传感器、门禁系统、中控系统进行对接；
71. ★系统支持会议室预约后，设置会议室监控时长，到达预设时间后内如无人员活动自动释放会议室资源；
72. ★系统支持与门禁系统对接，参会人员签到后自动开门，也支持参会人员门禁刷卡后自动签到；
73. ★系统支持与中控系统对接，并在系统内灵活配置控制设备预案；
74. ★会议信息显示屏能够支持与同品牌信息发布系统集成使用，在没有会议时可以显示信息发布的内容，包括图片、视频等；
75. ★支持与大屏分布式系统融合，不需要增加硬件设备可将分布式系统中的信号源接入无纸化系统，能够获取分布式系统中的大屏模式，实现无纸化终端投屏显示到大屏；同时分布式系统能够将无纸化会议终端作为信号源任意投屏。
76. ★日志管理：支持查看用户操作内容及其发生的时间，以便追踪和审查系统中的操作历史。
77. ★系统名称：支持自定义系统名称，包含并不限于标题名称、系统名称、页面脚注、上传公司Logo；
78. 会议服务：支持新增会议服务，可对会议服务名称、排序、图标等自定义；
79. ★邮件通知;支持自定义邮件通知模版，可对会议邀请模版、会议更改模版、会议取消模版、会议审批模版、会议驳回模版等内容自定义；
80. ★远程升级：支持在平台中对已注册的客户端设备的版本进行集中升级；
81. ★支持对会议数量时长统计、会议类型占比分析、会议室利用率分析、会议室数量统计等；
82. 我的信息：我的信息功能允许用户修改自己的个人信息，例如：个人照片、姓名、用户名、电话、邮箱等。用户上传的个人照片可以作为人脸识别签到的依据，也可以在签到后开启门禁。
83. ★系统支持与运维平台集成，包含不少于6屏主题画面，并支持主题画面的自定义，主题画面包含并不限于以下业务范围：会议保障、无纸化数据监测、会议环境控制、资产管理、设备状态监测、告警处理等；
84. ★设备状态监测主题画面，监控硬件指标包含并不限于描述时指标和运行时指标，且指标数量不少于10种，包含并不限于运行时长、内存占用率、CPU使用率、实体温度、空闲率等；
85. ★会议保障主题画面，可展示会务管理系统中所有会议列表，会议列表数据不少于4类，包含并不限于会议地点、会议主题、主持人、预计开始时间、预计结束时间、参会人员排位及参会人员签到状态等；
86. ★会议环境控制主题画面，可控制会议室内所有硬件设备，控制设备种类不少于6种，包含并不限于灯光、空调、窗帘、投影、幕布、门禁、摄像机等，同时支持自定义分组控制以及支持多设备控制动作组的自定义和执行；画面中可直观查看会议室内环境指标，且监测指标不少于6种；
87. ★告警处理监测主题画面，系统支持自动生成设备网络拓扑图，设备类型不少于20种，且提供不少于3种告警方式，当发生提示告警时，会在告警设备上标记黄色叹号、当轻微告警时，可将整条链路为红色、而重度高警时，系统会弹出告警弹窗，以便及时处理；当监测的设备达到告警阈值，1秒内可以通过短信、邮件、微信、钉钉等通知运维人</t>
  </si>
  <si>
    <t>投影申请服务器</t>
  </si>
  <si>
    <t>主要装载无纸化会议投影软件，配合无纸化其他设备实现参会人员可自行将讲稿内容投影到会议室大屏幕</t>
  </si>
  <si>
    <t>信号输出控制器</t>
  </si>
  <si>
    <t>EMeta-TR810-51</t>
  </si>
  <si>
    <t>1. 满足高容错性，采用网络分布式架构，系统中任意一个单元故障均不影响系统继续运行，仅影响该单元对应的局部功能；
2. 支持4K@30分辨率并向下兼容，支持H.265硬件实时编解码，向下兼容H.264;
3. ★支持16个以上视频分发能力；支持信号的开窗、拼接功能（满足LCD/LED拼接超级同步）；
4. 支持POE与外部供电双供电模式；
5. 支持KVM功能（点对点传输）；
6. 支持RTMP直播推流；
7. 支持HLS，网页播放；
8. 支持串口控制第三方控制；
9. 支持视频信号无缝切换；
10. 支持自定义码率调整，适应不同带宽环境；
11. 支持高性能图像处理单元，输入到输出端延时不超过70ms；
12. ★支持设备状态实时监测功能；
13. 支持与语音控制功能软件对接，可通过语音关键词进行管控；
14. 支持与网络摄像机接入软件对接，兼容市面上常见各品牌网络摄像机；
15. 支持坐席管理功能，支持OSD切换、键鼠滑屏、多分屏KVM、坐席推送、信号标注、视频墙推送、坐席权限管理等功能；
16. 支持静态/动态字幕叠加功能；
17. 支持超高分底图功能；
18. 支持输出图像调整功能，支持对图像亮度、色调、对比度、饱和度等参数进行调整；
19. ★支持网络远程在线重启、重置及在线升级等功能；
20. 支持信号源裁剪功能； 
21. 支持输出画面裁剪功能；
22. ★支持输入输出切换开关，可以通过拨码开关自行设定为输入或者输出终端，在使用过程中，灵活配置输入输出终端，并互为备份，保证系统运行稳定可靠；
23. ★无须同步节点即可实现设备实时同步，支持单屏或多屏拼接显示，实现精确拼接同步，自动校准，同步误差在0.01ms以下；
24. 支持扩展语音控制模块软件对接，进行语音关键词管控信号调度；
25. 支持平板软KVM控制电脑，可在平板端控制PPT翻页，视频播放控制；
26. ★支持无纸化会议系统融合使用，可作为无纸化系统外部信号接入和图像输出使用；
27. ★支持可视化设计器，可通过零编程软件设计管理节点应用；
28. 支持编码H.264 / H.265 / JPEG；解码H.264 / H.265 / JPEG压缩格式；
29. 支持HDMI 1.4 × 1，4K@30视频输入；
30. 支持HDMI 1.4 × 1，4K@30视频输出；
31. 支持视频环出，和视频输出共用HDMI；
32. 支持HDMI内嵌/48K单端立体声Mic/Line电平输入+输出
33. 至少满足RS-232 × 1，RS-485 × 1；IO：×2，5V@60mA；IR：×2，和I/O共用；USB接口：USB type-A × 4
34. 支持继电器×1，12V@1A弱电继电器
35. ★支持双网口RJ45 × 1,1000MBase-T；1G光纤 × 1
36. ★编码性能满足4K@30 + 1080P@30 + JPEG@30
37. 解码性能满足4K@30 × 1 / 1080P@60 × 2 / 960×540@30 × 16
38. 满足KVM延时不大于3帧；大屏模式80~200ms可调；输出拼接同步1ms；多头显卡同步1ms</t>
  </si>
  <si>
    <t>全高清流媒体编码主机</t>
  </si>
  <si>
    <t>用于无纸化会议系统外部高清视频信号采集与编码，以及音视频信号输出。可以为无纸化会议系统提供外部音视频信号和内部音视频信号互联互通，同时支持无纸化会议签到、投票、同屏等会议信息的展示功能。</t>
  </si>
  <si>
    <t>信号接入控制器</t>
  </si>
  <si>
    <t>EMeta-TR710-51</t>
  </si>
  <si>
    <t>有线网络千兆交换机</t>
  </si>
  <si>
    <t>1）≥24口10/100/1000Mbps以太网交换机，符合IEEE 802.3, IEEE 802.3u和IEEE 802.3ab 标准。
2）交换容量:336Gbps/3.36Tbps
3）包转发率:51Mpps/126Mpps
4）端口描述:≥24个千兆电口，≥4复用千兆光口</t>
  </si>
  <si>
    <t>无纸化会议系统终端管理程序软件</t>
  </si>
  <si>
    <t>支持一键切换程序的界面背景、logo等信息.方便与会议主题相配合，比如会议参会单位主体不同时单位图标和企业UI视觉可导入更换；支持一键切换系统语言，如中文简体、繁体字、英文、法文等；</t>
  </si>
  <si>
    <t>无纸化客户端软件</t>
  </si>
  <si>
    <t>EMeta-PclientWIN</t>
  </si>
  <si>
    <t>1. ★拥有无纸化软件著作权证书；
2. ★支持中英文多语言自由切换；
3. ★支持windows、Android、鸿蒙、麒麟系统及跨系统混用[提供系统截图]；
4. ★支持会议终端的多角色设定，可以灵活指定会议主席、会议秘书席位[提供系统截图]；
5. 支持每台终端进入会议的等待时长小于1秒；
6. ★支持会议前的欢迎界面自动根据会议自定义设置更新显示，用以提醒参会人员的落座位置。显示内容可自定义包括但不限于本次会议主题、本次会议时间、参会人员中英文姓名、职务、单位；
7. ★支持电子桌牌显示参会人员信息；显示内容可自定义包括但不限于本次会议主题、本次会议时间、参会人员中英文姓名、职务、单位；
8. 支持多样化签到方式，会议签到方式通过服务端进行设置，终端会议签到方式不少于五种；
9. ★系统支持通过会议信息显示屏，实现人脸识别签到、扫描二维码签到、手写补签功能；
10. 支持查看当前签到情况，支持签到的过程与结果进行实时投票；
11. ★支持使用可视化设计工具对会议室真实布局进行绘制，可根据真实会议室场景平面图作为底图，按照真实布局对固定资产摆放、无纸化终端摆放及终端绑定，在会议室布局图上可以进行参会人员模拟排位，会议终端支持按照实际会议室布局查看参会人员位置和签到状态；[提供系统截图]
12. 支持采用统一的分辨率和页面比例，分辨率为1920*1080，页面比例为16:9，保证会议信息界面的终端控件、圆形控件以及图片控件不会拉伸变形
13. 支持通过会议议题分组查看会议资料，支持Word、PPT、PDF、Excel、TXT文档、图片、视频等会议资料的查阅，参会人只可看到有权限的文件。
14. 支持当文档过大时，缩略图加载内容较慢，会显示“正在加载”字样，待全部加载完成之后会显示缩略图。
15. 当对PPT和列数过多的Excel表放大查看时，支持左右拖动查看，直至放大后的文档内容全部显示后便不能再拖动。
16. 支持查看视频资源时可以实现快进、快退、暂停、全屏等操作，对视频进行播放时会以中文的形式展示倍速与关闭的提示信息。
17. ★支持每场会议下多个会议议题，支持每个议题下上传不同的会议资料，支持每个议题下配置不同的参会人员；[提供系统截图]
18. 支持会议过程中对会议议题顺序的调整，议题内包含的文件跟随议题调整；
19. 支持文件类型的提示标志保持字号大小统一、风格一致。
20. ★支持每个会议议题下参会人员配置不同的会议资料查看权限；[提供系统截图]
21. ★支持参会人员排位功能，支持整场会议同一排位，也支持每个议题参会人员不同排位；排位使用可视化的方式实现，支持参会人员位置调换；[提供系统截图]
22. ★支持会议资料查阅的过程中进行批注、标记功能，批注内容自动保存，保证终端断网、断电会议资料不会丢失；
23. 查看文档时支持最大放大倍数为200%，缩小倍数最小为50%，并且会实时显示当前的放大倍数，单次点击放大或缩小的按钮时，步进值为10%，默认显示的文档大小为100%。
24. ★支持会议资料查阅的过程中通过触摸实现放大、缩小、翻页、移动、旋转等功能；[提供系统截图]
25. 支持通过文档缩略图进行翻页，同时也支持手动滑动翻页。
26. ★支持参会人员同屏申请指定无纸化终端跟随自己的屏幕查看会议资料，同屏支持普通跟随和强制跟随；
27. ★支持异步浏览，参会人员可以通过异步浏览自由使用终端其他功能，也支持浮窗的方式进行异步浏览。
28. ★支持屏幕同屏广播，支持跨平台（Windows/Android）广播，屏幕广播/文档主讲支持申请模式，以及具备选择是否同步到大屏功能。
29. ★支持会议过程中，组建多个分组对不同的会议资料同屏讨论；[提供系统截图]
30. ★支持会议过程中，对外部信号的预览、查看、同屏功能；[提供系统截图]
31. 在外部信息功能下，默认显示无纸化终端列表，点击可切换至信号列表。
32. 外部信号的小窗可支持全屏移动，长时间（1分钟）不移动时，自动移动到屏幕左侧或右侧中间（近距离优先），不会影响其他内容的正常显示。
33. ★支持终端同屏、终端投屏的审批控制；[提供系统截图]
34. ★支持会议主席、会议秘书可快速选择终端进行投屏操作；[提供系统截图]
35. ★支持会议过程中，无纸化终端或外部信号源投屏至多个屏幕；[提供系统截图]
36. 会议主持可通过信号管理将任意参会人本地画面屏幕广播至任意或全部参会人，也可以结束任意参会人的共享画面。
37. ★支持参会人员审批投放大屏幕显示，支持多个大屏幕，每个大屏幕支持全屏、二分屏、四分屏的模式；[提供系统截图]
38. 支持电子白板单人使用，电子白板整页内容自动保存，支持创建多个电子白板页；
39. 电子白板支持多人交互使用，多人交互使用时，系统可以为每个人生成不同的笔记颜色，多人书写互不影响；
40. ★电子白板可以自定义参会人员同屏交互，实现分组讨论；[提供系统截图]
41. 支持会议交流，参会人员可一对一或者一对多互发消息进行交流；
42. 支持向会议服务员申请会议服务，提供茶水、计算器、纸张、笔、清扫等会议服务，并且可以填写服务文字内容，向会议服务员申请自定义服务内容；
43. ★支持快捷会议纪要记录功能，记录时实现发言人的快速可视化选择，减少记录人员工作；[提供系统截图]
44. 支持会议议题启动和结束、参会人员同屏申请、会议暂停、会议结束、会议标语显示、重新签到等会议控制功能；
45. ★具备会议议题功能，具备下发议题至侯会屏进行显示；具备会议标语功能，具备多个会议标语切换，并具备推送至大屏和客户端显示。
46. ★支持会中进行会议议题的语音播报，实现对指定会议议题、议题下的参会人员语音播报； 
47. 会议主持可控制评分功能启用、结束，查看统计结果功能。
48. 支持启动已经创建好的投票表决项，也可以通过会议终端临时创建投票表决内容；
49. ★会议表决支持自定义表决时长，支持三种以上表决类型，实现实名、匿名两种表决方式，支持参会人员在投票期间输入表决意见；[提供系统截图]
50. 在进行投票时，支持仅可以同时进行一个表决，当会议秘书手动结束或表决倒计时结束后，由会议秘书手动开启下一个表决。
51. 支持发起一个或连续发起会议表决功能，支持优良中差、赞成反对、分值等表决方式；支持公开、匿名等表决类型。
52. ★会议表决支持自定义参与表决的参会人员名单。[提供系统截图]
53. ★会议表决支持投票内容防偷窥，表决时其他参会人员无法查看。[提供系统截图]
54. ★支持投票表决结果实时统计，会议主席和秘书可以选择是否公布表决结果；
55. 会议结束后无纸化终端会议资料自动销毁；
56. ★支持多路外部信号接入，能够预览外部信号图像和全屏显示，外部信号支持同屏和投屏；
57. 支持查看会议中文档批注、电子白板的实时保存内容；
58. 删除会议资料界面中的文件，对该文件进行的批注，在资料记录中批注名字会显示“其他”字样。
59. 支持U盘上传会议资料，进行文件阅览或共享其他参会人员，同时上传文件可保存在服务器和本地终端中。
60. 内置浏览器，支持浏览以太网网络，可后台统一设置，点击直接打开配置 好的网页。
61. 支持集中控制操作，控制终端显示内容，控制终端开关机，支持无纸化升降器及话筒的统一升降</t>
  </si>
  <si>
    <t>无纸化会议终端主机</t>
  </si>
  <si>
    <t>无纸化会议系统终端</t>
  </si>
  <si>
    <t>EMeta-Pclient110</t>
  </si>
  <si>
    <t>1. 支持与无纸化系统进行会议资料、会议信息、资料记录、电子白板、会议签到、会议记录、表决管理、外部信号、申请同屏、投大屏等功能控制
2. 支持内置千兆网卡，支持7*24小时无间断使用
3. CPU≥I5四代
4. 内存容量≥8GB
5. 硬盘≥128GB
6. 前面板接口包含但不限于：USB2.0≥4；Mic音频口≥1；AUDIO音频口≥1；电源开关≥1；电源指示灯≥1
7. 后面板接口包含但不限于：HDMI≥1；1*VGA≥1；USB3.0≥4；网口≥1；电源口≥1；Mic音频口≥1；AUDIO音频口≥1；GHOST≥1；ANT≥1；
P-LED≥1；H-LED≥1</t>
  </si>
  <si>
    <t>智能会议升降一体终端</t>
  </si>
  <si>
    <t>1）触控超薄高清显示屏与升降器一体化设计，带话筒升降，话筒可自动扶直,无外露连接线、无连接背板、无外露螺丝，保证升降显示触控屏整体美观大方。
2）设备面板厚度≤5mm，宽度≤80mm，面板USB接口≥1，外接U盘临时上传会议文件或浏览文件并共享会议材料，升降器后背板具备220V10A电源环出口。</t>
  </si>
  <si>
    <t>15.6寸液晶双屏升降器</t>
  </si>
  <si>
    <t>EMeta-PM-LS15.6B</t>
  </si>
  <si>
    <t>1. 要求屏机联体，超薄一体化设计
2. 屏幕需采用全视角IPS屏，A+规屏
3. 显示器尺寸≥15.6英寸，厚度≤8mm，分辨率≥1920*1080，屏幕比例支持16：9
4. 亮度≥250cd/m2，对比度≥800:1，可视角度≥89°
5. 屏幕支持多点触控，升降时间＜17S
6. 副屏幕尺寸≥11.6英寸
7. 副屏幕分辨率≥1366*788
8. 要求屏幕升起后自动仰角15度，手掰调节任意角度，支持相对桌面30度
9. 按键需包含但不限于电脑开关机键、USB接口、上升、暂停、下降、HDMI和VGA信号按键
10. 电脑开关机键必须有指示灯并带电源开关标志符号
11. 接口包含HDMI≥2路，VGA≥2路，RJ45≥2路，USB≥4路，AC电源口≥2路，DC电源口≥1路
12. USB接口需采用自带抽拉式防尘盖
13. 信号输入支持面板按键切换和中控远程控制切换
14. 支持电源环通功能，手拉手环通串联
15. 支持无纸化系统远程控制屏幕统一升降</t>
  </si>
  <si>
    <t>1）≥16*16混合矩阵，采用FPGA架构，内部自建核心运算机制，无内嵌操作系统；
2）总线交换技术，每路信号采用单独通道进行传输，保证所有信号图像的实时显示；
3）输入信号切换支持实时、无缝、无黑场现象</t>
  </si>
  <si>
    <t>机柜</t>
  </si>
  <si>
    <t>1、600*600*2000 前玻璃单开，后网格双开
2、网络机柜配置方便接线的8位10A无线PDU</t>
  </si>
  <si>
    <t>十八、4F会议室（三）（88.56㎡）</t>
  </si>
  <si>
    <t>十九、4F中型学术报告厅（690㎡）</t>
  </si>
  <si>
    <t>1）单卡≥四路HDMI输入卡：
2）支持HDMI, DVI-D，支持1080P
3）板卡支持输入信号自动识别
4）输入支持字符叠加功能</t>
  </si>
  <si>
    <t>1）单卡≥四路HDMI无缝输出卡：
2）输出支持HDMI, DVI-D
3）输出支持HDCP, EDID管理
4）输出最多支持≥36种分辨率</t>
  </si>
  <si>
    <t>二十、5F会议室（37.1㎡）</t>
  </si>
  <si>
    <t>会议一体机</t>
  </si>
  <si>
    <t>屏幕采用≥75英寸液晶显示器，采⽤LED液晶A规屏，显示⽐例16:9。显示分辨率3840*2160，可视⻆度≥178°</t>
  </si>
  <si>
    <t>辅材接插件</t>
  </si>
  <si>
    <t>信息桌插1个、线缆</t>
  </si>
  <si>
    <t>二十一、5F多功能活动室（240㎡）</t>
  </si>
  <si>
    <t>1）≥8*8混合矩阵，采用FPGA架构，内部自建核心运算机制，无内嵌操作系统；
2）总线交换技术，每路信号采用单独通道进行传输，保证所有信号图像的实时显示；
3）输入信号切换支持实时、无缝、无黑场现象</t>
  </si>
  <si>
    <t>二十二、6F无纸化智慧会议室（74.68㎡）</t>
  </si>
  <si>
    <t>1）嵌入式安装，可独立使用；
2）主席单元具有优先权按键及会议控制功能；
3）系统具有自动修复功能，支持线路的“热插拔”；
4）具备抗手机干扰功能；</t>
  </si>
  <si>
    <t>1）嵌入式安装，可独立使用；
2）会议单元支持“环形手拉手”连接技术，一台分机的故障或更换不会影响到系统中其它分机的工作，分机间出现一处连线故障也不会影响到系统工作；
3）具备抗手机干扰功能；
4)支持会议单元绑定功能，当两台会议单元进行绑定后，两台会议单元同步开关，系统自动识别切换会议单元的音频输出，避免因两台会议单元摆放太近产生声音干涉；</t>
  </si>
  <si>
    <t>无纸化系统</t>
  </si>
  <si>
    <t>通过局域网对一个会议室或者多个会议室（视软件而定）的多媒体智能无纸化无纸化系统进行集中有效的管理，提高多媒体无纸化无纸化系统会务信息交互传输、管理和信息备份。智能会议文件管理服务器（安装无纸会议系统后台管理程序软件V1.0）对会议室内终端的文件进行管理和分发，提高会议系统会务信息交互传输、管理和信息安全备份的能力。负责会议文件的处理，主要完成支持会议终端屏幕上的签到、表决、文件投影、文件同屏、文件批注等功能，会议过程文件可实时存储在智能无纸化会议服务器内部。</t>
  </si>
  <si>
    <t>1）主要装载无纸化会议投影软件，配合无纸化其他设备实现参会人员可自行将讲稿内容投影到会议室大屏幕
2）支持≥4路不同终端上的音视频会议文件或外接U盘资料投影申请到投影机或大屏幕并以≥4分割画面同步显示，支持当会场无同步信号时，大屏幕画面自动显示会议欢迎标语，避免大屏幕或投影机待机状态或无信号输入状态。</t>
  </si>
  <si>
    <t>无纸化会议终端</t>
  </si>
  <si>
    <t>1）8G+128G WiFi版
2）屏幕尺寸：11英寸
3）分辨率：2560*1600
4）支持IPv6：支持IPv6</t>
  </si>
  <si>
    <t>二十三、6F会议室（41.36㎡）</t>
  </si>
  <si>
    <t>二十四、会务管理及总运维管理系统</t>
  </si>
  <si>
    <t>专业会议室管理系统</t>
  </si>
  <si>
    <t>1）会议室预定系统支持在线实时预定功能，系统采用B/S架构，支持跨平台操作。
2）能够和信息发布系统结合，既可以显示实时会议也可以显示广告宣传片,会议室预定系统和会议发布系统为同一操作界面。无需在2个平台间切换操作。
3）会议室门口标牌显示屏完全自动显示各类会议进程，无需人为操作。
4）系统部署支持跨平台部署，同时支持LINUX和WINDOWS平台，会议发布终端同时支持C/S和B/S2种架构管理。对于大型应用建议采用LINUX平台。</t>
  </si>
  <si>
    <t>会务管理系统</t>
  </si>
  <si>
    <t>EMeta-MMS</t>
  </si>
  <si>
    <t>会务管理系统的服务应用，实现会前预约、会后资料共享等会议应用。系统支持多个会议室、多个会议的同时管理，通过可视化的页面交互方式，使会议预约、会议配置、议题设置、座次预设操作更加高效，提高会议的创建、配置的效率，提升会议过程中信息交互、资料管理和会议后资料归档以及资料安全备份的能力。拓展无纸化会议室使用时，无需重复建设，可直接使用。
1. 拥有会务管理系统软件著作权证书。
2. 支持与同品牌无纸化终端、电子桌牌无缝对接，拓展无纸化会议室时无需重复建设。
3. PC端支持B/S架构，采用浏览器访问系统进行会议预约及会务管理。
4. 支持对多个无纸化会议室的管理，每个会议室每天可以创建多个会议。
5. 服务端及终端支持中英文多语言自由切换。
6. 支持通过PC端、移动端多种方式进行会议预约。PC端实现Web浏览器预约、OA对接预约、Outlook对接预约、Exchange对接预约；移动端支持微信公众号预约、微信小程序、企业微信预约、钉钉预约、飞书HTML5页面预约。
7. 支持OA系统、OutLook对接、Exchange对接等多种方式，获取会议预约数据。
8. 系统实现OA系统对接、门禁系统对接、中控系统、企业微信对接、钉钉对接、第三方系统对接、文件同步等多种方式，使单位的组织架构、用户与系统的组织架构、使用用户一对一对应，并支持定期同步更新。
9. 支持短信、邮件、语音等系统对接，将会议邀请、会议变更、会议审核、会议取消等消息以邮件的形式通知至参会人员。
10. 支持与微信小程序、微信公众号、钉钉、飞书、Outlook、OA、企业微信及第三方系统办公对接，实现将会议邀请、会议变更、会议审核、会议结束、会议取消等消息通知至参会人员。
11. 系统支持与视频会议联动，预约会议时同步创建视频会议，并生成会议ID链接。
12. 系统支持与录播设备联动，，当会议启动时，录播设备将自动开始录制。会后，用户可以方便地在线预览录制的视频文件，并可以选择一键导出会前、会中、会后的资料，便于整理。
13. 系统支持与占空传感器联动，当会议开始后，如果在设定的时间内没有人员活动，系统将自动释放会议室资源。
14. 支持可视化显示会议室每天各时段会议状态，使用颜色区分会议室的会议时段、空闲时段、维修时段等，便于用户快速甄别会议室的状态，在会议室空闲时段可以快速预约。
15. 支持按月、周等形式对会议日历进行排布。使用日历的方式展示给用户当月的会议日程安排，在有会议的日期内缩略显示会议主题，点击日期详细查看当日的会议信息、会议资料和会议参会人员。
16. 支持显示跨天会议的完整时间段。
17. 支持以时间节点的形式展示当天所有的会议，按照时间倒序的形式进行展示。
18. 支持创建会议时通过部门关联快速检索公司内部员工。也支持导入的方式增加参会人员，支持自定义设置参会人员的会议角色权限，如：会议主席、会议秘书、参会人员的角色。
19. 支持一个会议创建多个会议议题，支持每个议题上传关联多个会议资料，会议资料支持Office文档类、PDF类、TXT文档、图片类、视频类文件资源。支持每个议题都可以设置不同的参会人员及会议秘书、会议主席。支持通过权限配置每位参会人员在指定议题下的会议资料查看权限。 
20. 系统内置可视化组件，实现平面图的方式显示会议室布局位置。可按照会场实际位置进行布局；在会议预约时，使用可视化的方式为参会人员进行排位，可随时位置调换。
21. 系统支持支持为每个会议室独立设置审批权限。支持为每个会议室设置会议审批管理员。审批通过后利用电话、短信、邮件、钉钉、微信小程序、微信公众号、企业微信、飞书、Outlook等多种方式，通知预约申请人以及参会人员。会议提醒时长可自定义；
22. 系统支持多种会议通知频率，包括提前五分钟、提前十五分钟、提前1小时和提前1天，以确保参会人员能够及时收到会议通知。
23. 支持查看全部已申请的会议，会前可随时上传、补充会议资料；
24. 会议启动，到达会议预定开始时间时，系统将自动启动会议，并在会议信息显示屏上以不同颜色的灯带表示会议室的使用状态，便于参会人员直观了解会议室的占用情况。 
25. 会议取消，在会议启动前，可以将会议取消，会议取消后，当前会议室可在此时段内被其他管理员预约其他会议；
26. 参会人员会前通过会议资料实现资料共享，可随时下载查看；
27. 会议结束后，会议管理员可上传会议过程中的决议、会议记录等会议资料，形成完整会前、会中、会后资料。参会人员可下载查看；
28. 会议室集中管理，利用动态的会议预约申请手段，解决公司会议室固定资产利用不充分的问题。系统内置强大的审批功能，可为每个会议室独立审批流程，同时可为每个会议室设置会议审批管理员；
29. 支持创建周期会议，重复频率包含每天、每个工作日、每周、每月等。 支持将创建的会议保存为模板。
30. 支持使用已保存的会议模板进行会议创建，使用模板会议创建后参会人员、会议通知模式、会议议题、参会人员排位等信息自动显示。
31. 支持创建会议室选择需要准备的会议服务。
32. 支持在管理后台新建会议议题，议题开始时可通过侯会信息播报屏进行语音播报会议议题及议题下的参会人员。
33. 支持灵活定义会议室类型，可以按照会议室类型作为筛选条件快速查找会议室。
34. 支持使用可视化设计工具对会议室真实布局进行绘制，可根据真实会议室场景平面图作为底图，按照真实布局对固定资产摆放。  
35. 支持企业的组织架构维护，可以按照实际的组织架构一一对应管理，分多级管理。
36. 支持在一级组织架构设置LOGO图标，系统管理服务器端和会议终端可以自动更新获取LOGO。
37. 支持会议信息显示屏，开机可显示会议室名称、全天会议安排及本次会议、下场会议主题等信息。
38. 支持针对会议室的状态，可视化设计信息显示屏的筹备中、签到中、会议中、空闲中不同状态下的显示内容。
39. 支持可视化组件对会议信息屏显示内容进行灵活排版。可视化组件包含的内容包括但不限于：人脸检测组件、会议列表组件、已签到人员组件、图片组件、视频组件、视频流组件、文本组件、矩形组件、时间轴组件、时钟表盘组件、时间文本组件、按钮组件、天气组件、环境监测组件、会议二维码组件等。
40. 支持会议信息显示屏与会议室绑定，可监测终端的联机状态、运行状态。
41. 支持在会议信息显示屏进行临时会议的预约。 
42. 系统支持所有的会议信息显示屏显示统一风格，也支持每个会议信息显示屏显示不同的风格。 
43. 会议签到，在会议即将开始到结束期间，参会人员可通过会议信息显示屏进行多种方式签到方式，包括扫码签到、人脸识别、验证码签到、指纹签到。签到数据将实时同步到后台，确保签到信息的准确性和实时性。
44. 系统支持与门禁对接，系统支持与门禁系统对接，参会人员可通过人脸识别、IC卡等方式签到开门。
45. 系统支持与占空感应器对接会议室预约后，设置会议室监控时长，到达预设时间后内如无人员活动自动释放会议室资源。
46. 系统支持与中控系统对接，并在系统内灵活配置控制设备预案。
47. 会议信息显示屏能够支持与同品牌信息发布系统集成使用，会议时显示绑定会议室的全天会议日程安排，无会时显示预编辑的多媒体信息发布节目。
48. 系统具备对每个会议室单独设置审批流程，可实现单人审批、多人审批、整个审批流程设置。
49. 流程设置的逻辑节点包含全局节点、审批节点；其中全局节点包含开始、会议结束审批和结束节点；审批节点包含用户审批、审批表单、多路判断、会签审批、智能匹配五个节点。
50. 支持自定义审批逻辑，用户审批节点支持部门+用户的方式进行选择，只可选择一人作为审批人。
51. 审批表单节点支持选择指定审批人审批指定审批表单。支持通过多路判断节点判断审批人的角色信息、部门信息。判断条件包含预约部门、会议时间（分钟）、会议室等进行判断。会签审批节点支持选择多个审批人审批指定的审批表单；支持选择“与”、“或”关系；选择完成后，展示部门、审批人、审批角色以及审批表单等信息。支持智能匹配节点，按照部门主管审批；支持选择“与”、“或”关系。
52. 支持会议室收费功能，可自由配置收费类型以及收费规则。
53. 支持预先设置收费模板，如日常收费模板、特价收费模板等。
54. 支持设置收费规则明细，包含日期、时间、单价、时长等内容。
55. 支持安全管理，定期更换口令，设置口令冻结时间，根据需要调整身份鉴别次数和日志审计保存周期。
56. 支持三元管理。
57. 支持SM4会议资料加密。
58. 支持会议报表统计，以时间、会议室为维度展示会议室的使用记录台账；
59. 支持可视化会议分析，系统支持以折线图、饼状图和条形图的形式展示会议预约、预约类型和会议室空间使用统计，帮助用户直观地了解会议预约情况和空间使用情况。
60. 支持查看会务管理系统的空间数、预约次数、实际次数、取消次数和预约总时长。
61. 支持以周、月、季、年的维度展示会议室的会议次数、会议时长、会议预约次数、预约类型、空间使用统计，以折线图、条形图、饼状图等展示相对应的数据。
62. 系统管理对使用系统的公司部门、角色权限、用户进行管理，对会议室基本信息维护。
63. 会议室平面图功能，使用真实平面图显示会议室的实际位置，通过颜色区分会议室当前状态；</t>
  </si>
  <si>
    <t>信息发布对接</t>
  </si>
  <si>
    <t>和信息发布对接</t>
  </si>
  <si>
    <t>信息发布管理系统</t>
  </si>
  <si>
    <t>EMeta-RMS</t>
  </si>
  <si>
    <t>系统管理软件是整个系统管理的核心，通过网络来管理播放终端，作为系统的管理中心，包括了资源管理、终端管理、节目管理、用户管理等系统的所有管理功能。
1. 资源管理：实现发布系统发布各种媒体格式文件的传输，对媒体资源实现统一存储、共享使用。
2. 节目资源：视频、音乐、图片、文字、PPT、Word、Excel等Office文档以及PDF资源。
3. 节目接口：支持外部接口资源，如天气、股票、世界时间、汇率、网站等。
4. 节目类型：实现常规、轮播、插播节目。
5. 终端管理：支持终端运行监控主要是监控终端的运行状态的监控，可以看到终端是否在线，当前播放的节目清单。
6. 终端分组：把网络上所有的终端根据管理模式的需要按区域或者级别分成多个组，以组的方式实现对终端的管理。
7. 远程升级：实现终端软件的远程更新。
8. 节目模板：模板的制作只需要规划节目的内容布局，不需要选择具体播放资源，使节目的风格、样式、布局更加统一，更加规范。
9. 模板节目制作：可快速根据模板的控件要求进行节目制作，制作时选择播放的媒体素材即可。
10. 新建节目制作：通过鼠标拖拽左侧工具栏的媒体控件实现节目制作，布局灵活、内容丰富。
11. 系统管理对使用系统的公司部门、角色权限、用户进行管理。
12. 节目审批：可对制作好的节目，统一审批管理，不符合要求的节目，在审批不通过时，可自由添加提示或建议，确保节目内容符合要求，内容不涉及违规信息等。</t>
  </si>
  <si>
    <t>智慧医院会议总综合运维管理控制平台</t>
  </si>
  <si>
    <t>1）集中管理和监测医院多个会议室：平台统一监控多个会议室的状态，包括设备运行、会议室使用情况等。实时查看每个会议室的设备状态，并对会议室进行统一管理。</t>
  </si>
  <si>
    <t>物联运维管理平台</t>
  </si>
  <si>
    <t>EMeta-IOT-VF</t>
  </si>
  <si>
    <t xml:space="preserve">1. 物联运维管理平台能够整合接入会务预约、无纸化会议、电子桌牌、多媒体信息发布、分布式控制、可视化指挥调度、视频会议、录播系统各类应用系统，包括场所内IT设备类、控制类、传感器类、音频类、视频类、环境电器类、显示终端类各种硬件设备，实现可视化监控、自动告警、设备巡检、故障处置、集中控制的系统全过程运维管理。
2. 系统整体采用B/S架构，支持浏览器访问，可在线编辑管理可视化；
3. 支持手机端，微信小程序、公众号、钉钉、H5应用；
4. 支持PC端应用；
5. 支持移动平板应用；
6. 支持与会务系统实现无缝对接，同时还可监控设备状态，自定义可视化数据看板，完全满足用户的基本需求。
7. 系统支持对接Oracle、MySQL等数据库，实现数据源、数据库分组管理。
8. 集中控制，支持用户通过一个中心界面或控制台来监视和查看多个设备或系统的状态和运行情况。用户可以实时获取设备的数据、警报信息、性能指标等，以便及时发现并处理问题。支持实时监控设备状态，包含告警信息、在线状态；支持实时查看并控制视频流画面。
9. 监测功能包含日志查询和设备信息，日志查询功能支持检索、筛选和查看生成的日志信息。通过日志查询功能，用户可以按照操作时间、操作用户以及操作描述等条件来查询和分析系统日志。设备信息功能支持记录、管理和查看设备的详细信息。
10. 场所管理，用户可以在系统中手动添加场所，支持按照楼层、房间、会议室区分场所类型；如有对接其他的业务系统，支持业务系统的场所同步，并会显示数据来源。
11. 解决方案管理，支持通过预设好的解决方案编码，将数据对接至系统中，下次使用时可快速创建解决方案。
12. 数据实体管理，支持自定义数据实体名称，并选择对应的分组，实现数据实体的创建。
13. 数据源管理，是系统中所有数据的源头，支持多种类型的数据源，便于管理员对会议、系统、数据、设备等有全方位的把控。
14. 数据库管理，支持Oracle、MySQL类型的数据库，可以通过数据库类型、名称等快速查找，方便管理员获取数据，查看和数据库信息等。
15. 字典管理：支持对系统中使用的字典数据进行管理和维护，包括字典类型、值、扩展值、父ID等配置项。
16. 部门管理，公司的组织架构具有上级部门、下级部门及上级管理下级的业务需求，系统采用树形结构可以无限级的子节点操作，实现与企业部门或机构的真实对应。
17. 角色管理，系统支持将角色认定是一组用户权限的合集，具有指定权限操作、访问特定资源的行为。例如数据库管理、数据源管理等一般是由最高级管理员使用，普通用户无此功能权限。
18. 用户管理：支持通过用户管理功能，通过手动录入信息的方式将使用单位包含的所有用户录入系统，可将用户与组织指定关联。系统具备手机号码、用户姓名检索数据的功能。
19. 设备厂家，支持通过填写厂家名称、注册日期、国家等信息添加新的设备厂家，支持按照厂家名称查询；支持在厂家下添加品牌，可选择是否启用，支持一键编辑和删除操作；支持通过点击厂家查看该厂家的信息，包含厂家名称、注册日期、国家等信息。’
20. 设备品牌：支持编辑、添加品牌，添加品牌时，可选择指定的厂家，并选择是否启用；支持按照品牌名称进行查询，支持一键删除操作。
21. 设备类型：支持以列表的形式展示设备类型，包含的设备类型有视频、音频、控制、环境电器、传感器、服务器、显示终端等；通过选择设备类型、填写品牌名称实现设备类型与品牌绑定。
22. 设备型号：支持编辑对应设备类型下的设备参数、设备属性、动作状态和状态监听以及控制面板；支持编辑设备基本信息，包含设备名称、品牌名称、设备类型、控制方式等。支持对不同的设备维护对应的设备属性信息。
23. 系统内置多种类型的控制面板，支持对不同的设备设置不同的控制面板；支持控制面板定制。支持针对某一类设备或某一个设备自由选择与其对应的控制面板，并与该设备进行绑定。
24. 设备维护：设备维护功能支持根据设备模型将具体的设备维护到系统中，支持实时监测设备的在线状态；支持以列表的形式展示设备列表，包含设备名称、设备类型、设备型号、品牌、场所以及设备状态，支持查看设备的详细信息，包含IP、端口、控制方式、设备属性信息等。支持按照设备类型、场所、品牌等精确查询；支持一键复制设备ID，便于查询统计业务数据。
25. 设备控制：支持添加设备控制面板，支持个性化定制；支持按照编辑、预览、删除、查询等操作。
26. 告警渠道支持配置告警通知的不同渠道和方式，以便及时通知相关人员或团队，系统内置包含短信、公众号、钉钉、邮件、电话等多种类型的告警渠道，通过填入对应的字段即可完成配置。
27. 告警规则支持按照分组进行添加，便于对某一类型设备或者某一个场所的设备的告警规则制定，也可实现对单一设备（特殊设备）制定特殊的告警规则；支持自定义编辑告警信息，包含告警名称、告警等级、触发条件、以及推送规则和告警内容。支持多个触发条件并行触发，支持设置推送频率，可指定时间段或者推送频率等。支持以变量的形式添加告警内容，便于显示实时的数据。
28. 通知对象：支持自定义选择通知方式，支持选择多个通知方式同时推送告警；支持手动添加通知人员，并可以修改人员信息。
29. 告警模板：支持以列表的形式展示模板信息，包含模板名称、分组、启用状态以及关联的告警渠道等，支持自定义添加告警模板以及关联的告警渠道。
30. 告警中心：支持实时展示设备的在线数量、离线数量以及不同告警等级的告警通知数量；支持以图表的形式并按照告警等级、设备类型以及场所等维度展示告警信息。支持实时显示告警排行以及告警记录。
31. 告警处理功能，包含待处理和已处理两种表单；待处理表单中可实时记录告警信息，包含告警名称、设备名称、设备类型、场所名称以及告警时间和告警内容；可针对每条告警信息进行处理，处理结果支持选择已处理、误报警以及无需处理等，支持上传处理照片以及填写备注信息等；处理完的告警信息统一展示在已处理表单中，支持留存每条告警信息的处理结果，方便下次出现类似情况运维人员可以快速明确解决办法，提高运维效率。
32. 巡检计划：支持自动巡检和手动巡检两种，自支持设置巡检计划的执行周期，如每天、每周、每月等，可以根据实际需要选择合适的周期；支持定义巡检计划的巡检范围，可以指定巡检场所以及对应场所下的设备；手动巡检支持将巡检计划下发给指定的巡检人，支持巡检人通过移动端完成巡检。
33. 巡检完成后会生成一份详细的巡检报告，包含基本信息和会议终端两部分内容。基本信息中会展示本次巡检的巡检时间、巡检区域以及对应区域下的设备在线状态、数量等；会议终端部分会展示本次巡检的每一台设备的详细信息，包含巡检时间、设备参数、基本运行情况、近七天告警等级分析以及告警记录排行。
34. 巡检范围：定义巡检计划的巡检范围，可选择巡检场所范围以及对应的设备范围等。
35. 导航设置功能包含系统维护以及菜单管理，以帮助管理员进行系统的维护和配置导航菜单，确保系统的稳定运行和用户的便捷使用。
36. 菜单管理，管理员可以自定义菜单名称、跳转方式、排序、功能模块以及跳转链接等。通过菜单管理，管理员可以根据组织的需求和用户角色，设计和配置用户界面的导航菜单结构，使用户能够快速访问所需的功能模块。
37. 系统维护：是用于管理和维护其他业务系统而设置的模块，支持以列表的形式展示授权客户端的信息，包含客户端类型、客户端ID、客户端秘钥、回调地址等信息，支持添加、编辑、删除操作。
38. 系统设置是一个核心的功能模块，用于管理和配置系统的各种设置和参数，包含工单类型维护、系统设置、插件管理、紧急程度维护、以及菜单管理等功能。
39. 工单类型维护功能支持定义和管理不同的工单类型，如设备告警、设备巡检、设备保养等类型，通过设置工单类型的标题、值以及启用状态，管理员可以为不同的工单提供分类和标识，便于后续的处理和统计。
40. 系统设置功能支持对系统的初始化操作，包含标题ICON、登录页面、登录背景、菜单等设置LOGO；支持将系统重要模块和全部数据做备份，并以日志的形式记录导出和导入日志；支持数据同步功能，如将钉钉用户、微信用户等一键同步等操作。
41. 主题设置中包含两部分，分别为登录页设置和菜单设置。可以自由上传登录页面logo、配图、背景以及网页标签icon等，使用户能够更加个性化地定制系统的外观和风格，可以自定义添加自己企业的Logo、Icon等。
42. 插件管理功能支持将插件进行分组管理，以列表的形式展示每个插件的信息，包含ID、code、分组、大小、缩略图等，支持新增、编辑、删除等操作。
43. 紧急程度维护功能支持管理员定义和管理不同工单的紧急程度，如常规、紧急、特级。通过设置不同级别的响应时间、处理优先级和通知方式，系统可以根据工单的紧急程度进行优先级排序。
44. 菜单管理功能提供了管理员管理系统导航菜单的能力，支持根据组织的需求和用户角色设置不同的导航菜单，使用户能够快速访问所需的功能模块。
45. 工单统计功能支持以图表的形式查看工单的统计信息，包括工单的类型统计、紧急程度统计、响应时间统计、处理时间统计等。支持以列表的形式展示工单记录，包含工单的详细信息、处理进度以及紧急程度等。
46. 工单管理功能支持创建、分配、处理和关闭工单的能力，支持按照类型、场所、设备范围等进行创建，同时支持将工单下发给指定的人员，包含受理人、督办人，支持指定解决期限；支持工单流转操作，以应对不同的业务场景。
47. 我的待办功能支持以列表的形式并按照待处理、处理中、已解决、已取消四种状态进行分类展示；支持按照工单类型、紧急程度、发起人以及发起时间进行精确查找。
48. 资产管理功能，支持管理和跟踪组织内的各种资产，包括硬件设备、软件许可、车辆、设施等。支持按照资产名称查询；支持以列表的形式展示资产信息，包含资产名称、采购日期、投入使用日期、供货商名称以及维修联系人等；支持跟踪记录维修情况。
49. 供货商管理功能支持管理与组织合作的供货商和供应商。支持在供货商管理中记录每个供货商的详细信息，包括名称、联系人、联系方式、地址等。
50. 解决方案，在控制台功能中，支持PC端和移动端两种方式创建新的项目，通过拖拽左侧列表的组件，来自定义搭配可视化界面，常见的可视化的界面有数据看板、设备状态信息、会议室布局图等。
51. 项目管理：可按照具体的项目名称分类创建，所有的设计文档均依托在项目管理中。
52. 数据管理，包含了系统中所有的数据源信息，可以一键测试，方便管理人员明确数据源的准确性以及代码的运行状况。
53. 素材管理，支持图片、视频的上传和下载，以文件夹的树形结构存放文件，节省内存，减少上传的时间。
54. 设备状态监控，可支持对硬件设备以及软件系统的监控，便于运维人员周知设备运行情况，保障会议顺利进行。
55. 设备运行监控，实时监测设备的运行情况，展示在线率、故障设备等，实现数据动态更新与展现。
56. 设备控制，可根据对接的设备品牌、型号、协议等内容，在系统中自由灵活的控制，若在新添加相同品牌、型号、协议等设备时，只需关联设备，即可做到快速控制。
57. 画布编辑器中每一种类型的组件都可以单独设置条件，根据条件来设置组件的显示或行为，条件可以选择并且或者，值可以自定义编辑。如用图表去统计数据时，当某个值达到条件设定值时，会用其他颜色来做重点标记。事件编辑功能支持在可视化编辑器中帮助用户定义事件流程中的各个组件，并通过逻辑节点、设备控制和插件控制等功能组合来实现特定的逻辑和操作；支持实现设备控制、逻辑节点配置以及控制组件的动作状态。
58. 支持散点图、柱状图、胶囊柱图、条形图、折线图、饼状图、雷达图、漏斗图、仪表盘、动态仪表盘等多种类型的图表。
59. 支持对组件左对齐、右对齐、顶部对齐、底部对齐、垂直均分、水平均分等多种排列布局。
60. 支持对数据图表配置边距、显示层级、旋转角度、颜色、尺寸大小等。
61. 支持对图表进行标注配置，可添加前后缀、相对偏移，自由选择标注位置、文本描边、粗细和颜色；支持5种以上的文本样式、8种以上的粗细样式；支持七种以上的标注图形类型，如圆点、矩形、菱形、三角形等，可自由设置图形尺寸。
62. 支持一键开启轴线、轴标题、刻度线、轴标签等，可自由搭配线性类型、大小和颜色。
63. 支持一键开启图例，自由选择图例位置、宽度、高度，设置文本字体类型、粗细、大小和颜色。
64. 支持在编辑的过程中，自动打开鹰眼，可以通过鹰眼放大、缩小、移动来查看编辑内容。
65. 支持对数据图表配置数据源，自由设置自动更新请求的频率；支持配置静态数据、动态数据和API等多种数据源类型；支持添加数据过滤器，使数据图表只显示自己想要展示的数据。
66. 支持一键保存、发布和预览，并支持快照操作。
67. 系统内置轮播列表、分页列表，支持设置图表尺寸、旋转角度、显示层级、调整边距等。
68. 支持对轮播列表全局设置，包含表格行数、奇数行、偶数行颜色、是否轮播等；自由设置列表内字体类型、颜色、大小、粗细、对齐方式等。
69. 支持单独对高亮字体、表头、序列号等设置背景色、边框线类型等；也可自定义设置列名称宽度、对齐方式和文本样式等。
70. 系统支持容器、按钮、文本、滑块、监听、旋钮、音频控制、开关等多种类型的控件。
71. 容器：支持通过拖拽的方式改变容器的大小，支持设置旋转角度、显示层级、填充色、边框线类型及颜色等；对处于容器内的其它组件，只需移动容器，其它组件也相应移动。
72. 按钮：支持选择单态按钮、双态按钮两种按钮类型，支持正常、按下两种按钮模式；可分别设置正常模式和按下模式下的背景颜色、背景图片、圆角大小、边框线型颜色粗细等；支持对按钮分组编号并对按钮文本设置文字间距、上下偏移量、文本样式。
73. 文本：支持一键设置文本尺寸、旋转角度和显示层级；对文本样式自由选择字体类型、粗细、字号大小、文字间隔、背景颜色、背景图片、圆角大小等。
74. 滑块：支持纵向滑块和横向滑块两种，自由设置滑动数值、最小数值、最大数值和步进值；支持单独对轨道样式、滑块样式、数值样式等个性化配置，包含滑块宽高、轨道直径、背景色、数值偏移量；可显示刻度值，并对刻度长度、偏移量、颜色进行设置。
75. 监听：支持一键设置图表尺寸、旋转角度和显示层级；支持对柱形监听图表设置显示数值、最小数值和最大数值；支持设置值占比样式，包含背景色、圆角大小、外边框和刻度边框的线型、粗细和颜色。
76. 旋钮：系统内置了两种样式的旋钮，支持对值的设置，包含当前值、最小值、最大值和步进值；支持对刻度线设置，包含最小刻度（短线）、标度单位（长线）、最小刻度线长、标度单位线长、
77. 刻度偏离值、刻度颜色、值颜色等。
78. 音频控制：系统内置不少于4种的音频控制组件，样式多元化，支持自定义配置底色以及值颜色；支持通过鼠标拖动的形式进行交互。
79. 开关按钮：内置多种开关按钮，实时显示开关的动画效果，可以真实的模拟开关的使用状态。
80. 系统内置了图片、视频、播放器等多种类型的媒体组件，包含单张图片、图标、轮播图、视频、WebRtc播放器、RTMP视频流播放器等。
81. 图片：支持一键设置图片尺寸、旋转角度和显示层级；支持选择位图和矢量图两种类型的图片，对图片可设置链接地址；支持设置图片重复模式，包含不重复拉伸满、垂直重复和水平重复等。
82. 图标：系统内置多种类型的图标素材，包含日常天气、报警、环境监测等，支持实时获取数据，并将数据通过颜色显示当前空间状态。
83. 轮播图：支持从平台中的资源库进行上传，可对轮播图片设置图片描述、动画速度和圆点颜色。
84. 视频：支持自由选择视频地址，可设置是否自动播放、循环播放、播放声音；对视频组件可设置背景颜色和视频缩放比例。
85. WebRtc播放器：支持手动输入视频地址，也可使用变量；支持自由选择是否播放声音，自定义设置背景颜色和视频缩放比例。
86. RTMP视频流播放器：支持手动输入视频地址，也可使用变量；支持自由选择是否播放声音，自定义设置背景颜色和视频缩放比例；支持选择rtmp/flv和rtmp/mp4两种视频流类型。
87. 系统内置标题和时间两种信息组件，包含通用标题、指标趋势、数字翻牌器、跑马灯和倒计时、环境信息、二维码、以及会议信息等。
88. 通用标题：支持一键设置标题尺寸、旋转角度和显示层级，可手动输入标题内容，自由配置标题样式和背景色，包含文本样式、对齐方式、文字间隔、圆角大小和边框等。
89. 指标趋势：支持对指标趋势全局配置，包含标题的排列方式、间距和背景色；支持对标题、图标、数值自由配置，可设置不同状态下的图标颜色，如上升颜色、持平颜色、下降颜色等，并且可以改变图标大小，选择是否同步等；对数值可设置显示数值和基础数值以及后缀。
90. 数字翻牌器;支持全局设置，也可对翻牌器和标题单独设置，可设置标题的文本样式、对齐方式，翻牌器值、前缀和后缀等跑马灯：支持输入跑马灯标题内容，一键设置旋转角度和显示层级；
91. 支持个性化配置跑马灯样式，包含设置背景颜色、文本样式、圆角大小、是否轮播和动画时间等。
92. 支持一键设置图表尺寸、旋转角度和显示层级；自由设置倒计时结束日、单位样式和时间样式，个性化配置文本样式、左右侧间隔。
93. 环境信息：支持通过组件展示环境信息，包含温度、湿度、PM2.5以及甲醛等，支持对外观和数据自定义配置，包含设置背景颜色、文本样式、后缀、图标等关键配置。
94. 二维码：支持为二维码添加访问地址，改变二维码颜色等，支持改变二维码间距等常用配置
95. 会议信息：支持对会议信息配置，包含表格行数、奇数行、偶数行颜色、是否轮播、列宽占比等。自由设置列表内字体类型、颜色、大小、粗细、对齐方式等。支持单独对高亮字体、表头、序列号等设置背景色、边框线类型等。也可自定义设置列名称宽度、对齐方式和文本样式等。
96. 系统内置点缀、边框、标题框等多种类型的装饰组件；支持对点缀组件设置主颜色、从颜色、闪烁的速度、每行点数、行数、点的大小等；支持对标题框和边框设置主颜色和从颜色以及边框宽度，个性化配置背景颜色、旋转角度和显示层级。
97. 系统内置墙体、桌椅、门、窗、沙发以及排位、植物、浴室等多种类型的空间组件，可模拟真实现场的会议室布局。
98. 墙体：内置L型房间、T型房间、垂直外墙以及水平外墙等多种类型墙体，可以使用墙体组件来构建房间或分割空间，可通过拖拽的方式改变组件的大小，并且可支持拖拽单个锚点的形式改变墙体的形状。支持对边框的粗细、颜色以及阴影进行配置。支持单色填充、图片或纹理填充以及无填充等填充形式，系统内置的填充纹理不少于100种。
99. 桌椅：系统内置了多种常见类型的桌椅，包含单人桌、双人桌、四人桌、八人桌、十六人桌等多种类型，支持在设计中选择合适的桌椅类型来满足不同场景的人数需求。
100. 门窗：支持双开门、非平衡门、单门、旋转门等多种类型的门类型，支持一键设置图表大小、旋转角度和显示层级，支持个性化配置填充色和边框色。
101. 沙发：支持根据使用场景灵活选择沙发类型，如单人沙发、双人沙发、三人沙发、四人沙发等，支持一键修改组件尺寸、图表位置、显示层级以及旋转角度等，支持通过改变填充颜色、亮度以及线条方式、粗细、颜色去模拟真实的沙发。
102. 系统内置的设备组件主要包含网络、终端、信息设备以及性能监控等，可实现自由搭建拓扑图，监测设备状态。
103. 网络设备：主要包含网关和交换机，支持一键设置设备尺寸和显示层级；支持设置标题内容、标题样式、标题位置、标题偏移以及文本样式和连接线样式；自主选择显示设备的指标，如CPU使用率、运行时间、网络速度、内存已用等信息，便于监控设备的运行情况。
104. 终端设备：内置显示器、平板、手机、笔记本电脑、各类服务器、编解码器、摄像机等多种类
105. 型的终端，支持一键设置设备尺寸和显示层级；支持设置标题内容、标题样式、标题位置、标题偏移以及文本样式和连接线样式；自主选择显示设备的指标，如CPU使用率、运行时间、网络速度、内存已用等信息，便于监控设备的运行情况。
106. 信息设备：支持以设备正视图的形式展示设备的基本信息，包含设备IP、CPU、内存等基本属性信息，并可通过动画显示当前设备的在线状态。
107. 性能监控：支持按照动态折线图的形式展示每一个指标的实时数据，支持修改指标显示的样式，配置项不少于20项。
108. 支持个性化配置画布的背景颜色，也可本地上传图片作为画布背景。
109. 内置多种类型的导航组件，如水平菜单、垂直菜单以及导航按钮
110. 支持自定义添加菜单编辑以及菜单选中、移入、的背景颜色和文字颜色；
111. 支持二级菜单添加以及ICON、地址配置；
112. 支持地址窗口加载组件，可以加载多个页面地址，与导航按钮配合使用，可以实现按钮切换不同的主题画面；
113. 内置多种动画效果类型，包含显示动画、隐藏动画以及值改变动画，动画效果如水平翻转进入、弹跳进入、旋转进入等等，并支持设置动画时间，支持毫秒级；
114. 支持二维地图以及三维地图等地图组件，提供地理空间信息以及路线信息。
115. 支持设置地图的主题样式，地图级别以及中心点经纬度等，以针对不同的使用场景。
116. 支持三维地图通过立体展示地理空间信息，可以创建出更逼真的视觉效果，提供更生动的空间感知。
117. 支持在画布编辑器中导入节点。
118. 支持将当前画面一键适配画布。
119. 支持Ctrl+鼠标滚轮、鼠标点击放大缩小当前视图。
120. 支持一键停用、删除某个节点、一键清空无用节点。
121. 支持设置全局节点，可添加的事件有页面加载完成、全部数据加载完成；事件触发后执行更新全部组件等操作。
122. 支持设置变量，通过选择变量名，设置变量值，变量值支持表达式编辑。
123. 支持配置流程控制，包含分支判断、多录判断、定时器等多种流程控制方式。
124. 分支判断、多路判断：支持并且、或者两种判断方式，通过选择变量、添加判断方式和判断值，实现新增条件；多路判断支持设置多个判断条件；同时支持变量去替代数值，来获取动态数据。
125. 定时器：支持开始计时、当到计时点时、停止计时多个触发事件，实现可在某个时间节点发送指令；支持选择是否开启循环和间隔时长。
126. 支持并行处理、串行处理、顺序执行等多种数据处理方式，通过配置处理方法，即可实现相应的数据处理方式。
127. 支持配置页面导航，通过输入链接地址，添加页面参数，快速实现页面导航配置。
128. 支持通过配置输入设备类节点的方法实现设备控制。
129. 键盘：支持配置键盘节点的事件和动作以及配置参数，如当任意键按下时、当字符键按下时、当按键释放时、向上、向下、向左、向右等多种触发事件。
130. 设备控制：支持视频类、音频类、摄像头、中控、传感器、服务器、显示终端等多种类型的设备，通过绑定设备，配置设备参数，实现设备控制。
131. TCP节点：支持通过配置TCP节点的形式实现符合协议的设备的控制，包含IP、端口、数据等；实现形式为请求上游节点数据，向下游输出数据；数据的形式支持多种编码格式，如HEX、ASCII、UTF-8等，同时支持用变量去替换数据。
132. UDP节点：支持通过配置UDP节点的形式实现符合协议的设备的控制，包含IP、端口、数据等；实现形式为请求上游节点数据，向下游输出数据；数据的形式支持多种编码格式，如HEX、ASCII、UTF-8等，同时支持用变量去替换数据。
133. 支持通过可视化界面将会议室的设备、桌椅、灯、窗帘、空调等进行展示，直观查看各类型设备的使用情况。
134. 支持通过可视化数据界面监测设备运行的正常率、故障率等，确保设备的正常运行。
135. 支持通过可视化界面反馈会议室的温湿度、PM2.5、甲醛浓度等信息。
136. 支持实时显示设备的运行状态信息，通过可视化界面反馈设备故障率、预警提示等内容。
137. 支持基于业务基础数据，设计数据分析模型，利用分析结果服务于生产业务。
138. 支持数据实体的创建，自定义数据实体名称，并选择对应的分组。
139. 支持Oracle、MySQL类型的数据库，支持通过数据库类型、名称等快速查找。
140. 支持多种类型的数据源，便于管理员对会议、系统、数据、设备等全方位把控。
141. 支持通过可视化设计器，利用拖拽组件的方式，自定义设置布局页面。
142. 支持对数据图表进行配置，如配置对应的数据源、对数据进行过滤，也可对选中元素的大小、位置、颜色等进行配置。
143. 素材管理：支持以文件夹树形结构存放资源，支持图片、视频等资源的上传和下载功能，支持鼠标双击即可打开图片或视频。
144. 支持按照实际平面结构1:1缩放构建仿真模型。
145. 内置丰富的组件库，支持通过拖拽组件的方式快速创建仿真模型。
146. 支持零代码对接外部硬件数据，快速实现数据对接和同步。
147. 支持应用于写字楼、办公区、会议室、办公室、工位等多种类型的场所。
148. 支持通过感应器和业务系统进行数据交互，实时监测各类型空间的使用情况。
149. 支持通过可视化界面，利用颜色区分会议进行中、空闲中、维修中等多种会议室状态。
150. 支持与各类业务系统、各类型终端、各类型硬件打通融合，实现状态信息统一汇总。
151. 支持自动获取设备运行状态、异常情况以及对运维人员进行报警。
152. 支持通过可视化界面的方式，构建多种类型的运维保障数据看板，实现既有宏观又有微观的设备状态监控。
153. 支持音频类设备、视频类设备、环境类设备、传感器类设备‘、显示终端类、软件系统类、服务器类等多种类型的设备接入。
154. 支持网络监测、状态监控、能耗监测、异常自动告警、拼接屏监控、信号预览等多种类型的健康状态监控。
155. 支持适配多种形式的协议对接，通过各类可能的网络接入，实现物与物、物与人的泛在连接。
156. 支持监控各类硬件的系统运行指标，如CPU、内存、磁盘、网络、温度等多种信息。
157. 支持运维人员定制网络运维专题，通过设计器定制组网环境内硬件的网络拓扑图，网络链路故障后可及时提醒。
158. 系统多种类型的设备同样和丰富的素材库，可根据需要个性化配置。
159. 支持PC端、移动端进行设备状态监控及告警。
160. 支持预警信息通过电话、短信、APP、微信、钉钉的等方式接收到设备状态的预警信息。
161. 支持房间运维、会议室运维、机房运维等多种场所的运维管理。
162. 房间运维：支持整合空间范围内的设备信息，可实现对灯光、空调、新风、窗帘、门禁、中控
163. 等设备运维管理和控制。
164. 会议室运维：支持与会务管理系统融合对接，动态获取各类会议终端设备信息，支持远程控制设备的升降、启动和关闭等动作。
165. 机房运维：支持通过移动端、PC端远程管理维护机房内的众多设备。
166. 自动化巡检：支持自动扫码并获取设备状态信息，自动判别是否和系统中监测的设备状态是否一致，以此来确认设备运行状态。
167. 人工巡检：支持系统发起巡检任务，运维人员可到现场手动扫描每个设备上的二维码获取设备信息，手动确保设备的运行状态。
168. 支持在会议室门口显示屏查看当前会议室设备运行状态、工作环境等。
169. 巡检报告：支持对设备的自动化巡检，包含设备的升降操作、开关机操作等，生成巡检报告并对故障设备及时报警。
170. 远程控制：支持运维人员通过特殊的权限对所管理的硬件及系统平台进行远程控制。
171. 设备状态监控：支持对硬件设备的运行状态监控、软件运行状态监控，包含场所内所安装的设备名称、品牌型号等信息。
172. 支持以数据可视化的方式展示设备状态，实时在线率、故障有效传输等；实时统计设备告警、展示趋势。
173. 支持根据套目、产品设备监测因子进行多维度筛选。
174. 支持针对不同场景预设不同的解决方案，一键操作众多设备达到预设的工作状态。
175. 支持定期自动化巡检，可设置在指定时间定期自动化巡检，并将生成得巡检报告通过微信、钉钉等方式反馈给运维人员。
176. 资产盘点：支持在特定时间段内，利用手机端扫描设备二维码，对当前支持资产设备进行统一盘点，生成盘点报告。
177. 支持场所分组切换以及场所切换。
178. 支持将设备绑定到对应场所下，同一类型设备，可添加多个。
179. 支持设备远程控制，包含不限于空调、灯光、窗帘、无纸化终端等设备。
180. 支持实时获取设备数据，如温度、湿度、甲醛、PM2.5，有人活动等信息。
181. 支持设备的运行情况和准确的监控数据，及时了解性能表现。
182. 支持按照巡检状态查看巡检计划的巡检进度，包含全部、待开始、进行中和已结束。
183. 可以根据实际情况选择适当的设备状态，设备状态包含设备故障、网络故障以及正常，并填写备注信息和添加巡检照片。
184. 支持通过扫描设备二维码的形式，迅速识别设备并自动匹配巡检任务。
185. 巡检完成后，支持在PC端生成巡检报告，包含设备的告警数据、基本运行情况等。
186. 支持通过页签的形式，切换不同状态的告警信息，包含已处理和待处理两种。
187. 支持处理或取消设备的告警信息，以适配不同的应用场景。
188. 支持告警处理功能，根据实际情况选择不用的处理结果，如已处理、无需处理、误报警。
189. 处理时支持添加备注信息以及处理照片等，包含并不限于描述故障、异常或其他事件的具体细节、采取的解决措施等信息。
190. 支持查看处理详情，包含告警设备的详细描述、处理结果、处理时间等。
191. 支持添加、编辑用户信息，包含用户名、姓名、部门、联系电话等。
192. 支持邀请新用户，支持发送邀请链接或注册码给到新用户，以此来获得对运维平台的访问权限。
</t>
  </si>
  <si>
    <t>数据分析及报表模块</t>
  </si>
  <si>
    <t>1）数据分析：通过日常数据记录，按设定的周期对每个会议室及每个设备的使用、异常数据进行多维度统计分析；
2）报表系统：自动生成运维报表，指出可能存在的问题，并提出优化建议，同时根据设置维护周期参数，提醒用户做好设备维护管理；
3）报表存储：历史运维报表可随时调阅或导出存档，为管理者日后决策提供数据支持；</t>
  </si>
  <si>
    <t>1）扫一扫：使用具有摄像头的控制终端扫描设备二维码，可快速获得相应设备的品牌、型号、操作说明书等各种信息，方便随时调阅；
2）资产管理：展示所有会议资产在会议室的分布情况，点击任一设备可查看包括品牌、型号、所属空间、启用日期、质保期、操作说明书和设置参数等详细信息；
3）资产时间轴：依据时间顺序，列出每个设备运行时的关键事件，并将其串联形成完整的设备生命周期时间轴，使设备信息系统化、完整化、精确化；</t>
  </si>
  <si>
    <t>分会议室数据备份模块</t>
  </si>
  <si>
    <t>系统热备份：总运维平台与各个会议室运维平台数据实时同步，当任何一方出现故障时仍保证系统控制功能正常运行；</t>
  </si>
  <si>
    <t>平台对接接口开发</t>
  </si>
  <si>
    <t>平台可定制开发接口，实现与其它系统平台对接，如BA系统、会议预约系统、门禁系统、分布式系统、BIM平台等，实现更多联动控制、数据交互功能；</t>
  </si>
  <si>
    <t>总综合运维平台服务器</t>
  </si>
  <si>
    <t>总综合运维平台服务器。以会议室为单位，集中管理监测多个会议室状态信息，若某一会议室出现故障，状态页面可即时显示故障原因和故障等级，将远程控制和预览会场内摄像机图像相结合的方式，远程查看会议室情况、设备的运行状态及各项参数，通过日常数据记录，可为用户生成会议室各项指标报表，为管理者决策提供数据支持，可通过接口开发，对接第三方数据平台，提供各类数据接口。</t>
  </si>
  <si>
    <t>系统服务器</t>
  </si>
  <si>
    <t>EMeta-MS400Z</t>
  </si>
  <si>
    <t>系统2U机架式服务器
1. 内置千兆网卡，支持7*24小时无间断使用
2. CPU：2颗Intel Xeon 5218 16C/32T 2.3GHz 
3. 内存容量：64GB
4. 硬盘：容量4T
5. 操作系统：支持Windows Server 2012 R2
6. 网络：双口千兆电口网口
7. 电源：550W冗余电源
8.其他接口：2个USB2.0；2个USB3.0；1个VGA</t>
  </si>
  <si>
    <t>二十八、10F多功能会议室（108㎡）</t>
  </si>
  <si>
    <t>二十九、17F活动室（112㎡）</t>
  </si>
  <si>
    <t>总计</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</si>
</sst>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409]mmm/yy;@"/>
    <numFmt numFmtId="177" formatCode="_-* #,##0.00\ [$€-1]_-;\-* #,##0.00\ [$€-1]_-;_-* &quot;-&quot;??\ [$€-1]_-"/>
    <numFmt numFmtId="178" formatCode="0.00_);[Red]\(0.00\)"/>
  </numFmts>
  <fonts count="33">
    <font>
      <sz val="11"/>
      <color theme="1"/>
      <name val="等线"/>
      <charset val="134"/>
      <scheme val="minor"/>
    </font>
    <font>
      <sz val="14"/>
      <name val="宋体"/>
      <charset val="134"/>
    </font>
    <font>
      <sz val="14"/>
      <color theme="1"/>
      <name val="宋体"/>
      <charset val="134"/>
    </font>
    <font>
      <sz val="10"/>
      <color rgb="FFFF0000"/>
      <name val="微软雅黑"/>
      <charset val="134"/>
    </font>
    <font>
      <sz val="12"/>
      <name val="宋体"/>
      <charset val="134"/>
    </font>
    <font>
      <sz val="11"/>
      <color rgb="FFFF0000"/>
      <name val="微软雅黑"/>
      <charset val="134"/>
    </font>
    <font>
      <sz val="10"/>
      <color rgb="FFFF0000"/>
      <name val="宋体"/>
      <charset val="134"/>
    </font>
    <font>
      <sz val="10"/>
      <color rgb="FF000000"/>
      <name val="宋体"/>
      <charset val="134"/>
    </font>
    <font>
      <sz val="10"/>
      <name val="宋体"/>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color indexed="8"/>
      <name val="宋体"/>
      <charset val="134"/>
    </font>
    <font>
      <sz val="12"/>
      <name val="Times New Roman"/>
      <charset val="134"/>
    </font>
    <font>
      <sz val="9"/>
      <name val="宋体"/>
      <charset val="134"/>
    </font>
    <font>
      <u/>
      <sz val="12"/>
      <color indexed="12"/>
      <name val="宋体"/>
      <charset val="134"/>
    </font>
    <font>
      <sz val="10"/>
      <name val="Helv"/>
      <charset val="134"/>
    </font>
  </fonts>
  <fills count="3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auto="1"/>
      </top>
      <bottom style="thin">
        <color auto="1"/>
      </bottom>
      <diagonal/>
    </border>
    <border>
      <left style="thin">
        <color auto="1"/>
      </left>
      <right style="thin">
        <color auto="1"/>
      </right>
      <top style="thin">
        <color rgb="FF000000"/>
      </top>
      <bottom style="thin">
        <color auto="1"/>
      </bottom>
      <diagonal/>
    </border>
    <border>
      <left style="thin">
        <color auto="1"/>
      </left>
      <right style="thin">
        <color auto="1"/>
      </right>
      <top style="thin">
        <color auto="1"/>
      </top>
      <bottom style="thin">
        <color rgb="FF000000"/>
      </bottom>
      <diagonal/>
    </border>
    <border>
      <left style="thin">
        <color rgb="FF000000"/>
      </left>
      <right style="thin">
        <color rgb="FF000000"/>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4">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3" borderId="9"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10" applyNumberFormat="0" applyFill="0" applyAlignment="0" applyProtection="0">
      <alignment vertical="center"/>
    </xf>
    <xf numFmtId="0" fontId="15" fillId="0" borderId="10" applyNumberFormat="0" applyFill="0" applyAlignment="0" applyProtection="0">
      <alignment vertical="center"/>
    </xf>
    <xf numFmtId="0" fontId="16" fillId="0" borderId="11" applyNumberFormat="0" applyFill="0" applyAlignment="0" applyProtection="0">
      <alignment vertical="center"/>
    </xf>
    <xf numFmtId="0" fontId="16" fillId="0" borderId="0" applyNumberFormat="0" applyFill="0" applyBorder="0" applyAlignment="0" applyProtection="0">
      <alignment vertical="center"/>
    </xf>
    <xf numFmtId="0" fontId="17" fillId="4" borderId="12" applyNumberFormat="0" applyAlignment="0" applyProtection="0">
      <alignment vertical="center"/>
    </xf>
    <xf numFmtId="0" fontId="18" fillId="5" borderId="13" applyNumberFormat="0" applyAlignment="0" applyProtection="0">
      <alignment vertical="center"/>
    </xf>
    <xf numFmtId="0" fontId="19" fillId="5" borderId="12" applyNumberFormat="0" applyAlignment="0" applyProtection="0">
      <alignment vertical="center"/>
    </xf>
    <xf numFmtId="0" fontId="20" fillId="6" borderId="14" applyNumberFormat="0" applyAlignment="0" applyProtection="0">
      <alignment vertical="center"/>
    </xf>
    <xf numFmtId="0" fontId="21" fillId="0" borderId="15" applyNumberFormat="0" applyFill="0" applyAlignment="0" applyProtection="0">
      <alignment vertical="center"/>
    </xf>
    <xf numFmtId="0" fontId="22" fillId="0" borderId="16" applyNumberFormat="0" applyFill="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7" fillId="12" borderId="0" applyNumberFormat="0" applyBorder="0" applyAlignment="0" applyProtection="0">
      <alignment vertical="center"/>
    </xf>
    <xf numFmtId="0" fontId="26" fillId="13" borderId="0" applyNumberFormat="0" applyBorder="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6" fillId="33" borderId="0" applyNumberFormat="0" applyBorder="0" applyAlignment="0" applyProtection="0">
      <alignment vertical="center"/>
    </xf>
    <xf numFmtId="176" fontId="4" fillId="0" borderId="0"/>
    <xf numFmtId="176" fontId="28" fillId="0" borderId="0">
      <alignment vertical="center"/>
    </xf>
    <xf numFmtId="0" fontId="4" fillId="0" borderId="0"/>
    <xf numFmtId="176" fontId="4" fillId="0" borderId="0"/>
    <xf numFmtId="176" fontId="4" fillId="0" borderId="0"/>
    <xf numFmtId="0" fontId="28" fillId="0" borderId="0">
      <alignment vertical="center"/>
    </xf>
    <xf numFmtId="177" fontId="0" fillId="0" borderId="0">
      <alignment vertical="center"/>
    </xf>
    <xf numFmtId="0" fontId="0" fillId="0" borderId="0"/>
    <xf numFmtId="0" fontId="29" fillId="0" borderId="0"/>
    <xf numFmtId="176" fontId="4" fillId="0" borderId="0"/>
    <xf numFmtId="176" fontId="30" fillId="0" borderId="0">
      <alignment vertical="center"/>
    </xf>
    <xf numFmtId="176" fontId="30" fillId="0" borderId="0">
      <alignment vertical="center"/>
    </xf>
    <xf numFmtId="176" fontId="30" fillId="0" borderId="0">
      <alignment vertical="center"/>
    </xf>
    <xf numFmtId="176" fontId="31" fillId="0" borderId="0" applyNumberFormat="0" applyFill="0" applyBorder="0" applyAlignment="0" applyProtection="0">
      <alignment vertical="center"/>
    </xf>
    <xf numFmtId="0" fontId="32" fillId="0" borderId="0"/>
  </cellStyleXfs>
  <cellXfs count="45">
    <xf numFmtId="0" fontId="0" fillId="0" borderId="0" xfId="0">
      <alignment vertical="center"/>
    </xf>
    <xf numFmtId="0" fontId="1" fillId="2" borderId="0" xfId="0" applyFont="1" applyFill="1" applyAlignment="1">
      <alignment horizontal="left" vertical="center"/>
    </xf>
    <xf numFmtId="0" fontId="1" fillId="2" borderId="0" xfId="0" applyFont="1" applyFill="1" applyAlignment="1">
      <alignment horizontal="left" vertical="center" wrapText="1"/>
    </xf>
    <xf numFmtId="0" fontId="2" fillId="2" borderId="0" xfId="0" applyFont="1" applyFill="1" applyAlignment="1">
      <alignment horizontal="left" vertical="center"/>
    </xf>
    <xf numFmtId="0" fontId="1" fillId="2" borderId="1" xfId="0" applyFont="1" applyFill="1" applyBorder="1" applyAlignment="1">
      <alignment horizontal="left" vertical="center" wrapText="1"/>
    </xf>
    <xf numFmtId="0" fontId="1" fillId="2" borderId="2" xfId="0" applyFont="1" applyFill="1" applyBorder="1" applyAlignment="1">
      <alignment horizontal="left" vertical="center" wrapText="1"/>
    </xf>
    <xf numFmtId="0" fontId="1" fillId="2" borderId="2" xfId="0" applyFont="1" applyFill="1" applyBorder="1" applyAlignment="1">
      <alignment horizontal="left" vertical="center"/>
    </xf>
    <xf numFmtId="0" fontId="1" fillId="2" borderId="1" xfId="57" applyFont="1" applyFill="1" applyBorder="1" applyAlignment="1">
      <alignment horizontal="left" vertical="center" wrapText="1"/>
    </xf>
    <xf numFmtId="176" fontId="1" fillId="2" borderId="1" xfId="57" applyNumberFormat="1" applyFont="1" applyFill="1" applyBorder="1" applyAlignment="1">
      <alignment horizontal="left" vertical="center" wrapText="1"/>
    </xf>
    <xf numFmtId="176" fontId="1" fillId="2" borderId="1" xfId="62" applyNumberFormat="1" applyFont="1" applyFill="1" applyBorder="1" applyAlignment="1">
      <alignment horizontal="left" vertical="center" wrapText="1"/>
    </xf>
    <xf numFmtId="176" fontId="1" fillId="2" borderId="1" xfId="0" applyNumberFormat="1" applyFont="1" applyFill="1" applyBorder="1" applyAlignment="1">
      <alignment horizontal="left" vertical="center"/>
    </xf>
    <xf numFmtId="0" fontId="1" fillId="2" borderId="1" xfId="0" applyFont="1" applyFill="1" applyBorder="1" applyAlignment="1">
      <alignment horizontal="left" vertical="center"/>
    </xf>
    <xf numFmtId="0" fontId="3" fillId="2" borderId="3" xfId="0" applyFont="1" applyFill="1" applyBorder="1" applyAlignment="1">
      <alignment horizontal="left" vertical="center" wrapText="1"/>
    </xf>
    <xf numFmtId="0" fontId="3" fillId="2" borderId="4" xfId="0" applyFont="1" applyFill="1" applyBorder="1" applyAlignment="1">
      <alignment vertical="center" wrapText="1"/>
    </xf>
    <xf numFmtId="0" fontId="3" fillId="2" borderId="4" xfId="0" applyFont="1" applyFill="1" applyBorder="1" applyAlignment="1">
      <alignment vertical="top" wrapText="1"/>
    </xf>
    <xf numFmtId="178" fontId="4" fillId="2" borderId="4" xfId="0" applyNumberFormat="1" applyFont="1" applyFill="1" applyBorder="1" applyAlignment="1">
      <alignment horizontal="right" vertical="center"/>
    </xf>
    <xf numFmtId="176" fontId="1" fillId="2" borderId="1" xfId="49" applyFont="1" applyFill="1" applyBorder="1" applyAlignment="1">
      <alignment horizontal="left" vertical="center" wrapText="1"/>
    </xf>
    <xf numFmtId="0" fontId="2" fillId="2" borderId="2" xfId="0" applyFont="1" applyFill="1" applyBorder="1" applyAlignment="1">
      <alignment horizontal="left" vertical="center" wrapText="1"/>
    </xf>
    <xf numFmtId="0" fontId="2" fillId="2" borderId="0" xfId="0" applyFont="1" applyFill="1" applyAlignment="1">
      <alignment horizontal="left" vertical="center" wrapText="1"/>
    </xf>
    <xf numFmtId="176" fontId="1" fillId="2" borderId="1" xfId="0" applyNumberFormat="1" applyFont="1" applyFill="1" applyBorder="1" applyAlignment="1">
      <alignment horizontal="left" vertical="center" wrapText="1"/>
    </xf>
    <xf numFmtId="176" fontId="1" fillId="2" borderId="1" xfId="63" applyNumberFormat="1" applyFont="1" applyFill="1" applyBorder="1" applyAlignment="1">
      <alignment horizontal="left" vertical="center"/>
    </xf>
    <xf numFmtId="0" fontId="1" fillId="2" borderId="1" xfId="63" applyFont="1" applyFill="1" applyBorder="1" applyAlignment="1">
      <alignment horizontal="left" vertical="center"/>
    </xf>
    <xf numFmtId="0" fontId="5" fillId="2" borderId="4" xfId="0" applyFont="1" applyFill="1" applyBorder="1" applyAlignment="1">
      <alignment horizontal="left" vertical="center"/>
    </xf>
    <xf numFmtId="176" fontId="1" fillId="2" borderId="1" xfId="0" applyNumberFormat="1" applyFont="1" applyFill="1" applyBorder="1" applyAlignment="1">
      <alignment horizontal="left" vertical="top" wrapText="1"/>
    </xf>
    <xf numFmtId="0" fontId="3" fillId="2" borderId="4" xfId="0" applyFont="1" applyFill="1" applyBorder="1" applyAlignment="1">
      <alignment horizontal="left" vertical="center" wrapText="1"/>
    </xf>
    <xf numFmtId="0" fontId="6" fillId="2" borderId="4" xfId="0" applyFont="1" applyFill="1" applyBorder="1" applyAlignment="1">
      <alignment horizontal="center" vertical="center" wrapText="1"/>
    </xf>
    <xf numFmtId="0" fontId="5" fillId="2" borderId="3" xfId="0" applyFont="1" applyFill="1" applyBorder="1" applyAlignment="1">
      <alignment wrapText="1"/>
    </xf>
    <xf numFmtId="176" fontId="1" fillId="2" borderId="1" xfId="63" applyNumberFormat="1" applyFont="1" applyFill="1" applyBorder="1" applyAlignment="1">
      <alignment horizontal="left" vertical="center" wrapText="1"/>
    </xf>
    <xf numFmtId="176" fontId="1" fillId="2" borderId="1" xfId="61" applyFont="1" applyFill="1" applyBorder="1" applyAlignment="1">
      <alignment horizontal="left" vertical="center" wrapText="1"/>
    </xf>
    <xf numFmtId="0" fontId="7" fillId="2" borderId="4" xfId="0" applyFont="1" applyFill="1" applyBorder="1">
      <alignment vertical="center"/>
    </xf>
    <xf numFmtId="178" fontId="7" fillId="2" borderId="4" xfId="0" applyNumberFormat="1" applyFont="1" applyFill="1" applyBorder="1" applyAlignment="1">
      <alignment horizontal="center" vertical="center"/>
    </xf>
    <xf numFmtId="178" fontId="8" fillId="2" borderId="4" xfId="0" applyNumberFormat="1" applyFont="1" applyFill="1" applyBorder="1" applyAlignment="1">
      <alignment horizontal="center" vertical="center"/>
    </xf>
    <xf numFmtId="176" fontId="1" fillId="2" borderId="2" xfId="0" applyNumberFormat="1" applyFont="1" applyFill="1" applyBorder="1" applyAlignment="1">
      <alignment horizontal="left" vertical="center" wrapText="1"/>
    </xf>
    <xf numFmtId="176" fontId="1" fillId="2" borderId="5" xfId="0" applyNumberFormat="1" applyFont="1" applyFill="1" applyBorder="1" applyAlignment="1">
      <alignment horizontal="left" vertical="center" wrapText="1"/>
    </xf>
    <xf numFmtId="0" fontId="2" fillId="2" borderId="1" xfId="0" applyFont="1" applyFill="1" applyBorder="1" applyAlignment="1">
      <alignment horizontal="left" vertical="center" wrapText="1"/>
    </xf>
    <xf numFmtId="0" fontId="2" fillId="2" borderId="6" xfId="0" applyFont="1" applyFill="1" applyBorder="1" applyAlignment="1">
      <alignment horizontal="left" vertical="center" wrapText="1"/>
    </xf>
    <xf numFmtId="0" fontId="2" fillId="2" borderId="6" xfId="0" applyFont="1" applyFill="1" applyBorder="1" applyAlignment="1">
      <alignment horizontal="left" vertical="center" wrapText="1"/>
    </xf>
    <xf numFmtId="0" fontId="2" fillId="2" borderId="1" xfId="0" applyFont="1" applyFill="1" applyBorder="1" applyAlignment="1">
      <alignment horizontal="left" vertical="center" wrapText="1"/>
    </xf>
    <xf numFmtId="0" fontId="2" fillId="2" borderId="7" xfId="0" applyFont="1" applyFill="1" applyBorder="1" applyAlignment="1">
      <alignment horizontal="left" vertical="center" wrapText="1"/>
    </xf>
    <xf numFmtId="0" fontId="2" fillId="2" borderId="7" xfId="0" applyFont="1" applyFill="1" applyBorder="1" applyAlignment="1">
      <alignment horizontal="left" vertical="center" wrapText="1"/>
    </xf>
    <xf numFmtId="176" fontId="1" fillId="2" borderId="1" xfId="59" applyFont="1" applyFill="1" applyBorder="1" applyAlignment="1">
      <alignment horizontal="left" vertical="center" wrapText="1"/>
    </xf>
    <xf numFmtId="0" fontId="5" fillId="2" borderId="8" xfId="0" applyFont="1" applyFill="1" applyBorder="1" applyAlignment="1">
      <alignment vertical="center" wrapText="1"/>
    </xf>
    <xf numFmtId="0" fontId="5" fillId="2" borderId="8" xfId="0" applyFont="1" applyFill="1" applyBorder="1" applyAlignment="1">
      <alignment vertical="top" wrapText="1"/>
    </xf>
    <xf numFmtId="0" fontId="3" fillId="2" borderId="4" xfId="0" applyFont="1" applyFill="1" applyBorder="1" applyAlignment="1">
      <alignment horizontal="left" vertical="center"/>
    </xf>
    <xf numFmtId="0" fontId="3" fillId="2" borderId="4" xfId="0" applyFont="1" applyFill="1" applyBorder="1" applyAlignment="1">
      <alignment horizontal="left" vertical="top" wrapText="1"/>
    </xf>
  </cellXfs>
  <cellStyles count="6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12" xfId="49"/>
    <cellStyle name="常规 13 12" xfId="50"/>
    <cellStyle name="常规 2" xfId="51"/>
    <cellStyle name="常规 2 19" xfId="52"/>
    <cellStyle name="常规 2 2" xfId="53"/>
    <cellStyle name="常规 3" xfId="54"/>
    <cellStyle name="常规 5" xfId="55"/>
    <cellStyle name="常规 6" xfId="56"/>
    <cellStyle name="常规_Sheet1" xfId="57"/>
    <cellStyle name="常规_Sheet1 2" xfId="58"/>
    <cellStyle name="常规_Sheet1_3" xfId="59"/>
    <cellStyle name="常规_Sheet2 2 2" xfId="60"/>
    <cellStyle name="常规_SSE" xfId="61"/>
    <cellStyle name="超链接_总控机房_1" xfId="62"/>
    <cellStyle name="样式 1" xfId="63"/>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F0"/>
  </sheetPr>
  <dimension ref="A1:K147"/>
  <sheetViews>
    <sheetView tabSelected="1" view="pageBreakPreview" zoomScale="90" zoomScaleNormal="115" workbookViewId="0">
      <pane ySplit="2" topLeftCell="A128" activePane="bottomLeft" state="frozen"/>
      <selection/>
      <selection pane="bottomLeft" activeCell="K135" sqref="K135"/>
    </sheetView>
  </sheetViews>
  <sheetFormatPr defaultColWidth="8.83333333333333" defaultRowHeight="20" customHeight="1"/>
  <cols>
    <col min="1" max="1" width="6.66666666666667" style="1" customWidth="1"/>
    <col min="2" max="2" width="29.6666666666667" style="2" customWidth="1"/>
    <col min="3" max="3" width="6.5" style="1" customWidth="1"/>
    <col min="4" max="4" width="7.83333333333333" style="1" customWidth="1"/>
    <col min="5" max="5" width="10.6666666666667" style="1" customWidth="1"/>
    <col min="6" max="7" width="12" style="3" customWidth="1"/>
    <col min="8" max="8" width="15.5" style="3" customWidth="1"/>
    <col min="9" max="10" width="12" style="3" customWidth="1"/>
    <col min="11" max="11" width="11.6666666666667" style="1" customWidth="1"/>
    <col min="12" max="16384" width="8.83333333333333" style="1"/>
  </cols>
  <sheetData>
    <row r="1" customHeight="1" spans="1:11">
      <c r="A1" s="1" t="s">
        <v>0</v>
      </c>
      <c r="B1" s="1"/>
      <c r="F1" s="1"/>
      <c r="G1" s="1"/>
      <c r="H1" s="1"/>
      <c r="I1" s="1"/>
      <c r="J1" s="1"/>
    </row>
    <row r="2" customHeight="1" spans="1:11">
      <c r="A2" s="4" t="s">
        <v>1</v>
      </c>
      <c r="B2" s="4" t="s">
        <v>2</v>
      </c>
      <c r="C2" s="4" t="s">
        <v>3</v>
      </c>
      <c r="D2" s="4" t="s">
        <v>4</v>
      </c>
      <c r="E2" s="4" t="s">
        <v>5</v>
      </c>
      <c r="F2" s="5" t="s">
        <v>6</v>
      </c>
      <c r="G2" s="5" t="s">
        <v>7</v>
      </c>
      <c r="H2" s="5" t="s">
        <v>8</v>
      </c>
      <c r="I2" s="5" t="s">
        <v>9</v>
      </c>
      <c r="J2" s="5" t="s">
        <v>10</v>
      </c>
      <c r="K2" s="6" t="s">
        <v>11</v>
      </c>
    </row>
    <row r="3" customHeight="1" outlineLevel="1" spans="1:11">
      <c r="A3" s="7">
        <v>11</v>
      </c>
      <c r="B3" s="8" t="s">
        <v>12</v>
      </c>
      <c r="C3" s="9" t="s">
        <v>13</v>
      </c>
      <c r="D3" s="10" t="s">
        <v>14</v>
      </c>
      <c r="E3" s="11">
        <v>2</v>
      </c>
      <c r="F3" s="12" t="s">
        <v>15</v>
      </c>
      <c r="G3" s="13" t="s">
        <v>16</v>
      </c>
      <c r="H3" s="14" t="s">
        <v>17</v>
      </c>
      <c r="I3" s="15">
        <v>903</v>
      </c>
      <c r="J3" s="15">
        <f t="shared" ref="J3:J55" si="0">I3*E3</f>
        <v>1806</v>
      </c>
      <c r="K3" s="6"/>
    </row>
    <row r="4" customHeight="1" outlineLevel="1" spans="1:11">
      <c r="A4" s="7">
        <v>12</v>
      </c>
      <c r="B4" s="8" t="s">
        <v>18</v>
      </c>
      <c r="C4" s="16" t="s">
        <v>19</v>
      </c>
      <c r="D4" s="8" t="s">
        <v>20</v>
      </c>
      <c r="E4" s="7">
        <v>2</v>
      </c>
      <c r="F4" s="17"/>
      <c r="G4" s="17"/>
      <c r="H4" s="17"/>
      <c r="I4" s="17"/>
      <c r="J4" s="18">
        <f t="shared" si="0"/>
        <v>0</v>
      </c>
      <c r="K4" s="6"/>
    </row>
    <row r="5" customHeight="1" outlineLevel="1" spans="1:11">
      <c r="A5" s="10" t="s">
        <v>21</v>
      </c>
      <c r="B5" s="19"/>
      <c r="C5" s="19"/>
      <c r="D5" s="10"/>
      <c r="E5" s="4"/>
      <c r="F5" s="17"/>
      <c r="G5" s="17"/>
      <c r="H5" s="17"/>
      <c r="I5" s="17"/>
      <c r="J5" s="18">
        <f t="shared" si="0"/>
        <v>0</v>
      </c>
      <c r="K5" s="6"/>
    </row>
    <row r="6" customHeight="1" outlineLevel="1" spans="1:11">
      <c r="A6" s="7">
        <v>12</v>
      </c>
      <c r="B6" s="8" t="s">
        <v>12</v>
      </c>
      <c r="C6" s="9" t="s">
        <v>13</v>
      </c>
      <c r="D6" s="10" t="s">
        <v>14</v>
      </c>
      <c r="E6" s="11">
        <v>1</v>
      </c>
      <c r="F6" s="12" t="s">
        <v>15</v>
      </c>
      <c r="G6" s="13" t="s">
        <v>16</v>
      </c>
      <c r="H6" s="14" t="s">
        <v>17</v>
      </c>
      <c r="I6" s="15">
        <v>903</v>
      </c>
      <c r="J6" s="15">
        <f t="shared" si="0"/>
        <v>903</v>
      </c>
      <c r="K6" s="6"/>
    </row>
    <row r="7" customHeight="1" outlineLevel="1" spans="1:11">
      <c r="A7" s="7">
        <v>10</v>
      </c>
      <c r="B7" s="19" t="s">
        <v>22</v>
      </c>
      <c r="C7" s="19" t="s">
        <v>23</v>
      </c>
      <c r="D7" s="20" t="s">
        <v>14</v>
      </c>
      <c r="E7" s="21">
        <v>1</v>
      </c>
      <c r="F7" s="13" t="s">
        <v>24</v>
      </c>
      <c r="G7" s="22" t="s">
        <v>25</v>
      </c>
      <c r="H7" s="14" t="s">
        <v>26</v>
      </c>
      <c r="I7" s="15">
        <v>1720</v>
      </c>
      <c r="J7" s="15">
        <f t="shared" si="0"/>
        <v>1720</v>
      </c>
      <c r="K7" s="6"/>
    </row>
    <row r="8" customHeight="1" outlineLevel="1" spans="1:11">
      <c r="A8" s="10" t="s">
        <v>27</v>
      </c>
      <c r="B8" s="19"/>
      <c r="C8" s="19"/>
      <c r="D8" s="10"/>
      <c r="E8" s="4"/>
      <c r="F8" s="17"/>
      <c r="G8" s="17"/>
      <c r="H8" s="17"/>
      <c r="I8" s="17"/>
      <c r="J8" s="18">
        <f t="shared" si="0"/>
        <v>0</v>
      </c>
      <c r="K8" s="6"/>
    </row>
    <row r="9" customHeight="1" outlineLevel="1" spans="1:11">
      <c r="A9" s="7">
        <v>8</v>
      </c>
      <c r="B9" s="8" t="s">
        <v>12</v>
      </c>
      <c r="C9" s="9" t="s">
        <v>13</v>
      </c>
      <c r="D9" s="10" t="s">
        <v>14</v>
      </c>
      <c r="E9" s="11">
        <v>1</v>
      </c>
      <c r="F9" s="12" t="s">
        <v>15</v>
      </c>
      <c r="G9" s="13" t="s">
        <v>16</v>
      </c>
      <c r="H9" s="14" t="s">
        <v>17</v>
      </c>
      <c r="I9" s="15">
        <v>903</v>
      </c>
      <c r="J9" s="15">
        <f t="shared" si="0"/>
        <v>903</v>
      </c>
      <c r="K9" s="6"/>
    </row>
    <row r="10" customHeight="1" outlineLevel="1" spans="1:11">
      <c r="A10" s="7">
        <v>8</v>
      </c>
      <c r="B10" s="4" t="s">
        <v>22</v>
      </c>
      <c r="C10" s="19" t="s">
        <v>23</v>
      </c>
      <c r="D10" s="20" t="s">
        <v>14</v>
      </c>
      <c r="E10" s="21">
        <v>1</v>
      </c>
      <c r="F10" s="13" t="s">
        <v>24</v>
      </c>
      <c r="G10" s="22" t="s">
        <v>25</v>
      </c>
      <c r="H10" s="14" t="s">
        <v>26</v>
      </c>
      <c r="I10" s="15">
        <v>1720</v>
      </c>
      <c r="J10" s="15">
        <f t="shared" si="0"/>
        <v>1720</v>
      </c>
      <c r="K10" s="6"/>
    </row>
    <row r="11" customHeight="1" outlineLevel="1" spans="1:11">
      <c r="A11" s="10" t="s">
        <v>28</v>
      </c>
      <c r="B11" s="19"/>
      <c r="C11" s="19"/>
      <c r="D11" s="10"/>
      <c r="E11" s="4"/>
      <c r="F11" s="17"/>
      <c r="G11" s="17"/>
      <c r="H11" s="17"/>
      <c r="I11" s="17"/>
      <c r="J11" s="18">
        <f t="shared" si="0"/>
        <v>0</v>
      </c>
      <c r="K11" s="6"/>
    </row>
    <row r="12" customHeight="1" outlineLevel="1" spans="1:11">
      <c r="A12" s="7">
        <v>7</v>
      </c>
      <c r="B12" s="8" t="s">
        <v>12</v>
      </c>
      <c r="C12" s="9" t="s">
        <v>13</v>
      </c>
      <c r="D12" s="10" t="s">
        <v>14</v>
      </c>
      <c r="E12" s="11">
        <v>1</v>
      </c>
      <c r="F12" s="12" t="s">
        <v>15</v>
      </c>
      <c r="G12" s="13" t="s">
        <v>16</v>
      </c>
      <c r="H12" s="14" t="s">
        <v>17</v>
      </c>
      <c r="I12" s="15">
        <v>903</v>
      </c>
      <c r="J12" s="15">
        <f t="shared" si="0"/>
        <v>903</v>
      </c>
      <c r="K12" s="6"/>
    </row>
    <row r="13" customHeight="1" outlineLevel="1" spans="1:11">
      <c r="A13" s="7">
        <v>11</v>
      </c>
      <c r="B13" s="19" t="s">
        <v>22</v>
      </c>
      <c r="C13" s="19" t="s">
        <v>23</v>
      </c>
      <c r="D13" s="20" t="s">
        <v>14</v>
      </c>
      <c r="E13" s="21">
        <v>1</v>
      </c>
      <c r="F13" s="13" t="s">
        <v>24</v>
      </c>
      <c r="G13" s="22" t="s">
        <v>25</v>
      </c>
      <c r="H13" s="14" t="s">
        <v>26</v>
      </c>
      <c r="I13" s="15">
        <v>1720</v>
      </c>
      <c r="J13" s="15">
        <f t="shared" si="0"/>
        <v>1720</v>
      </c>
      <c r="K13" s="6"/>
    </row>
    <row r="14" customHeight="1" outlineLevel="1" spans="1:11">
      <c r="A14" s="10" t="s">
        <v>29</v>
      </c>
      <c r="B14" s="10"/>
      <c r="C14" s="19"/>
      <c r="D14" s="10"/>
      <c r="E14" s="4"/>
      <c r="F14" s="17"/>
      <c r="G14" s="17"/>
      <c r="H14" s="17"/>
      <c r="I14" s="17"/>
      <c r="J14" s="18">
        <f t="shared" si="0"/>
        <v>0</v>
      </c>
      <c r="K14" s="6"/>
    </row>
    <row r="15" customHeight="1" outlineLevel="1" spans="1:11">
      <c r="A15" s="11"/>
      <c r="B15" s="19" t="s">
        <v>30</v>
      </c>
      <c r="C15" s="10"/>
      <c r="D15" s="10"/>
      <c r="E15" s="11"/>
      <c r="F15" s="17"/>
      <c r="G15" s="17"/>
      <c r="H15" s="17"/>
      <c r="I15" s="17"/>
      <c r="J15" s="18">
        <f t="shared" si="0"/>
        <v>0</v>
      </c>
      <c r="K15" s="6"/>
    </row>
    <row r="16" customHeight="1" outlineLevel="1" spans="1:11">
      <c r="A16" s="7">
        <v>7</v>
      </c>
      <c r="B16" s="8" t="s">
        <v>12</v>
      </c>
      <c r="C16" s="9" t="s">
        <v>13</v>
      </c>
      <c r="D16" s="10" t="s">
        <v>14</v>
      </c>
      <c r="E16" s="11">
        <v>1</v>
      </c>
      <c r="F16" s="12" t="s">
        <v>15</v>
      </c>
      <c r="G16" s="13" t="s">
        <v>16</v>
      </c>
      <c r="H16" s="14" t="s">
        <v>17</v>
      </c>
      <c r="I16" s="15">
        <v>903</v>
      </c>
      <c r="J16" s="15">
        <f t="shared" si="0"/>
        <v>903</v>
      </c>
      <c r="K16" s="6"/>
    </row>
    <row r="17" customHeight="1" outlineLevel="1" spans="1:11">
      <c r="A17" s="10" t="s">
        <v>31</v>
      </c>
      <c r="B17" s="10"/>
      <c r="C17" s="19"/>
      <c r="D17" s="10"/>
      <c r="E17" s="4"/>
      <c r="F17" s="17"/>
      <c r="G17" s="17"/>
      <c r="H17" s="17"/>
      <c r="I17" s="17"/>
      <c r="J17" s="18">
        <f t="shared" si="0"/>
        <v>0</v>
      </c>
      <c r="K17" s="6"/>
    </row>
    <row r="18" customHeight="1" outlineLevel="1" spans="1:11">
      <c r="A18" s="7">
        <v>9</v>
      </c>
      <c r="B18" s="8" t="s">
        <v>12</v>
      </c>
      <c r="C18" s="9" t="s">
        <v>13</v>
      </c>
      <c r="D18" s="10" t="s">
        <v>14</v>
      </c>
      <c r="E18" s="11">
        <v>1</v>
      </c>
      <c r="F18" s="12" t="s">
        <v>15</v>
      </c>
      <c r="G18" s="13" t="s">
        <v>16</v>
      </c>
      <c r="H18" s="14" t="s">
        <v>17</v>
      </c>
      <c r="I18" s="15">
        <v>903</v>
      </c>
      <c r="J18" s="15">
        <f t="shared" si="0"/>
        <v>903</v>
      </c>
      <c r="K18" s="6"/>
    </row>
    <row r="19" customHeight="1" outlineLevel="1" spans="1:11">
      <c r="A19" s="10" t="s">
        <v>32</v>
      </c>
      <c r="B19" s="19"/>
      <c r="C19" s="19"/>
      <c r="D19" s="10"/>
      <c r="E19" s="4"/>
      <c r="F19" s="17"/>
      <c r="G19" s="17"/>
      <c r="H19" s="17"/>
      <c r="I19" s="17"/>
      <c r="J19" s="18">
        <f t="shared" si="0"/>
        <v>0</v>
      </c>
      <c r="K19" s="6"/>
    </row>
    <row r="20" customHeight="1" outlineLevel="1" spans="1:11">
      <c r="A20" s="7">
        <v>9</v>
      </c>
      <c r="B20" s="8" t="s">
        <v>12</v>
      </c>
      <c r="C20" s="9" t="s">
        <v>13</v>
      </c>
      <c r="D20" s="10" t="s">
        <v>14</v>
      </c>
      <c r="E20" s="11">
        <v>1</v>
      </c>
      <c r="F20" s="12" t="s">
        <v>15</v>
      </c>
      <c r="G20" s="13" t="s">
        <v>16</v>
      </c>
      <c r="H20" s="14" t="s">
        <v>17</v>
      </c>
      <c r="I20" s="15">
        <v>903</v>
      </c>
      <c r="J20" s="15">
        <f t="shared" si="0"/>
        <v>903</v>
      </c>
      <c r="K20" s="6"/>
    </row>
    <row r="21" customHeight="1" outlineLevel="1" spans="1:11">
      <c r="A21" s="10" t="s">
        <v>33</v>
      </c>
      <c r="B21" s="10"/>
      <c r="C21" s="19"/>
      <c r="D21" s="10"/>
      <c r="E21" s="4"/>
      <c r="F21" s="17"/>
      <c r="G21" s="17"/>
      <c r="H21" s="17"/>
      <c r="I21" s="17"/>
      <c r="J21" s="18">
        <f t="shared" si="0"/>
        <v>0</v>
      </c>
      <c r="K21" s="6"/>
    </row>
    <row r="22" customHeight="1" outlineLevel="1" spans="1:11">
      <c r="A22" s="11"/>
      <c r="B22" s="19" t="s">
        <v>34</v>
      </c>
      <c r="C22" s="10"/>
      <c r="D22" s="10"/>
      <c r="E22" s="11"/>
      <c r="F22" s="17"/>
      <c r="G22" s="17"/>
      <c r="H22" s="17"/>
      <c r="I22" s="17"/>
      <c r="J22" s="18">
        <f t="shared" si="0"/>
        <v>0</v>
      </c>
      <c r="K22" s="6"/>
    </row>
    <row r="23" customHeight="1" outlineLevel="1" spans="1:11">
      <c r="A23" s="21">
        <v>1</v>
      </c>
      <c r="B23" s="19" t="s">
        <v>35</v>
      </c>
      <c r="C23" s="23" t="s">
        <v>36</v>
      </c>
      <c r="D23" s="20" t="s">
        <v>14</v>
      </c>
      <c r="E23" s="21">
        <v>1</v>
      </c>
      <c r="F23" s="13" t="s">
        <v>37</v>
      </c>
      <c r="G23" s="24" t="s">
        <v>38</v>
      </c>
      <c r="H23" s="13" t="s">
        <v>39</v>
      </c>
      <c r="I23" s="15">
        <v>5060</v>
      </c>
      <c r="J23" s="15">
        <f t="shared" si="0"/>
        <v>5060</v>
      </c>
      <c r="K23" s="6"/>
    </row>
    <row r="24" customHeight="1" outlineLevel="1" spans="1:11">
      <c r="A24" s="21">
        <v>2</v>
      </c>
      <c r="B24" s="19" t="s">
        <v>40</v>
      </c>
      <c r="C24" s="23" t="s">
        <v>41</v>
      </c>
      <c r="D24" s="20" t="s">
        <v>42</v>
      </c>
      <c r="E24" s="21">
        <v>2</v>
      </c>
      <c r="F24" s="13" t="s">
        <v>43</v>
      </c>
      <c r="G24" s="24" t="s">
        <v>44</v>
      </c>
      <c r="H24" s="14" t="s">
        <v>45</v>
      </c>
      <c r="I24" s="15">
        <v>820</v>
      </c>
      <c r="J24" s="15">
        <f t="shared" si="0"/>
        <v>1640</v>
      </c>
      <c r="K24" s="6"/>
    </row>
    <row r="25" ht="28" customHeight="1" outlineLevel="1" spans="1:11">
      <c r="A25" s="21">
        <v>3</v>
      </c>
      <c r="B25" s="19" t="s">
        <v>46</v>
      </c>
      <c r="C25" s="23" t="s">
        <v>47</v>
      </c>
      <c r="D25" s="20" t="s">
        <v>42</v>
      </c>
      <c r="E25" s="21">
        <v>3</v>
      </c>
      <c r="F25" s="13" t="s">
        <v>43</v>
      </c>
      <c r="G25" s="24" t="s">
        <v>44</v>
      </c>
      <c r="H25" s="14" t="s">
        <v>45</v>
      </c>
      <c r="I25" s="15">
        <v>820</v>
      </c>
      <c r="J25" s="15">
        <f t="shared" si="0"/>
        <v>2460</v>
      </c>
      <c r="K25" s="6"/>
    </row>
    <row r="26" ht="32" customHeight="1" outlineLevel="1" spans="1:11">
      <c r="A26" s="21">
        <v>4</v>
      </c>
      <c r="B26" s="19" t="s">
        <v>48</v>
      </c>
      <c r="C26" s="19" t="s">
        <v>49</v>
      </c>
      <c r="D26" s="19" t="s">
        <v>14</v>
      </c>
      <c r="E26" s="4">
        <v>1</v>
      </c>
      <c r="F26" s="13" t="s">
        <v>50</v>
      </c>
      <c r="G26" s="24" t="s">
        <v>51</v>
      </c>
      <c r="H26" s="13" t="s">
        <v>52</v>
      </c>
      <c r="I26" s="15">
        <v>1620</v>
      </c>
      <c r="J26" s="15">
        <f t="shared" si="0"/>
        <v>1620</v>
      </c>
      <c r="K26" s="6"/>
    </row>
    <row r="27" customHeight="1" outlineLevel="1" spans="1:11">
      <c r="A27" s="21">
        <v>5</v>
      </c>
      <c r="B27" s="19" t="s">
        <v>53</v>
      </c>
      <c r="C27" s="19" t="s">
        <v>54</v>
      </c>
      <c r="D27" s="19" t="s">
        <v>55</v>
      </c>
      <c r="E27" s="4">
        <v>1</v>
      </c>
      <c r="F27" s="25"/>
      <c r="G27" s="25" t="s">
        <v>56</v>
      </c>
      <c r="H27" s="25"/>
      <c r="I27" s="15">
        <v>5000</v>
      </c>
      <c r="J27" s="15">
        <f t="shared" si="0"/>
        <v>5000</v>
      </c>
      <c r="K27" s="6"/>
    </row>
    <row r="28" customHeight="1" outlineLevel="1" spans="1:11">
      <c r="A28" s="21">
        <v>6</v>
      </c>
      <c r="B28" s="19" t="s">
        <v>57</v>
      </c>
      <c r="C28" s="19" t="s">
        <v>58</v>
      </c>
      <c r="D28" s="19" t="s">
        <v>55</v>
      </c>
      <c r="E28" s="4">
        <v>1</v>
      </c>
      <c r="F28" s="25"/>
      <c r="G28" s="25" t="s">
        <v>56</v>
      </c>
      <c r="H28" s="25"/>
      <c r="I28" s="15">
        <v>5000</v>
      </c>
      <c r="J28" s="15">
        <f t="shared" si="0"/>
        <v>5000</v>
      </c>
      <c r="K28" s="6"/>
    </row>
    <row r="29" customHeight="1" outlineLevel="1" spans="1:11">
      <c r="A29" s="21">
        <v>7</v>
      </c>
      <c r="B29" s="19" t="s">
        <v>59</v>
      </c>
      <c r="C29" s="19" t="s">
        <v>60</v>
      </c>
      <c r="D29" s="19" t="s">
        <v>55</v>
      </c>
      <c r="E29" s="4">
        <v>1</v>
      </c>
      <c r="F29" s="25"/>
      <c r="G29" s="25" t="s">
        <v>56</v>
      </c>
      <c r="H29" s="25"/>
      <c r="I29" s="15">
        <v>5000</v>
      </c>
      <c r="J29" s="15">
        <f t="shared" si="0"/>
        <v>5000</v>
      </c>
      <c r="K29" s="6"/>
    </row>
    <row r="30" customHeight="1" outlineLevel="1" spans="1:11">
      <c r="A30" s="21">
        <v>8</v>
      </c>
      <c r="B30" s="19" t="s">
        <v>61</v>
      </c>
      <c r="C30" s="23" t="s">
        <v>62</v>
      </c>
      <c r="D30" s="19" t="s">
        <v>63</v>
      </c>
      <c r="E30" s="4">
        <v>1</v>
      </c>
      <c r="F30" s="13" t="s">
        <v>64</v>
      </c>
      <c r="G30" s="12" t="s">
        <v>65</v>
      </c>
      <c r="H30" s="26" t="s">
        <v>66</v>
      </c>
      <c r="I30" s="15">
        <v>1520</v>
      </c>
      <c r="J30" s="15">
        <f t="shared" si="0"/>
        <v>1520</v>
      </c>
      <c r="K30" s="6"/>
    </row>
    <row r="31" customHeight="1" outlineLevel="1" spans="1:11">
      <c r="A31" s="21">
        <v>9</v>
      </c>
      <c r="B31" s="19" t="s">
        <v>67</v>
      </c>
      <c r="C31" s="23" t="s">
        <v>68</v>
      </c>
      <c r="D31" s="19" t="s">
        <v>14</v>
      </c>
      <c r="E31" s="4">
        <v>3</v>
      </c>
      <c r="F31" s="13" t="s">
        <v>69</v>
      </c>
      <c r="G31" s="12" t="s">
        <v>70</v>
      </c>
      <c r="H31" s="14" t="s">
        <v>71</v>
      </c>
      <c r="I31" s="15">
        <v>610</v>
      </c>
      <c r="J31" s="15">
        <f t="shared" si="0"/>
        <v>1830</v>
      </c>
      <c r="K31" s="6"/>
    </row>
    <row r="32" customHeight="1" outlineLevel="1" spans="1:11">
      <c r="A32" s="21">
        <v>10</v>
      </c>
      <c r="B32" s="19" t="s">
        <v>72</v>
      </c>
      <c r="C32" s="19" t="s">
        <v>73</v>
      </c>
      <c r="D32" s="19" t="s">
        <v>14</v>
      </c>
      <c r="E32" s="4">
        <v>1</v>
      </c>
      <c r="F32" s="13" t="s">
        <v>74</v>
      </c>
      <c r="G32" s="12" t="s">
        <v>75</v>
      </c>
      <c r="H32" s="14" t="s">
        <v>76</v>
      </c>
      <c r="I32" s="15">
        <v>998</v>
      </c>
      <c r="J32" s="15">
        <f t="shared" si="0"/>
        <v>998</v>
      </c>
      <c r="K32" s="6"/>
    </row>
    <row r="33" customHeight="1" outlineLevel="1" spans="1:11">
      <c r="A33" s="21">
        <v>11</v>
      </c>
      <c r="B33" s="19" t="s">
        <v>77</v>
      </c>
      <c r="C33" s="9" t="s">
        <v>78</v>
      </c>
      <c r="D33" s="10" t="s">
        <v>14</v>
      </c>
      <c r="E33" s="11">
        <v>2</v>
      </c>
      <c r="F33" s="13" t="s">
        <v>79</v>
      </c>
      <c r="G33" s="12" t="s">
        <v>80</v>
      </c>
      <c r="H33" s="14" t="s">
        <v>81</v>
      </c>
      <c r="I33" s="15">
        <v>2040</v>
      </c>
      <c r="J33" s="15">
        <f t="shared" si="0"/>
        <v>4080</v>
      </c>
      <c r="K33" s="6"/>
    </row>
    <row r="34" customHeight="1" outlineLevel="1" spans="1:11">
      <c r="A34" s="21">
        <v>12</v>
      </c>
      <c r="B34" s="19" t="s">
        <v>82</v>
      </c>
      <c r="C34" s="19" t="s">
        <v>83</v>
      </c>
      <c r="D34" s="19" t="s">
        <v>14</v>
      </c>
      <c r="E34" s="4">
        <v>1</v>
      </c>
      <c r="F34" s="17"/>
      <c r="G34" s="17"/>
      <c r="H34" s="17"/>
      <c r="I34" s="17"/>
      <c r="J34" s="18">
        <f t="shared" si="0"/>
        <v>0</v>
      </c>
      <c r="K34" s="6"/>
    </row>
    <row r="35" customHeight="1" outlineLevel="1" spans="1:11">
      <c r="A35" s="21">
        <v>13</v>
      </c>
      <c r="B35" s="19" t="s">
        <v>84</v>
      </c>
      <c r="C35" s="19" t="s">
        <v>85</v>
      </c>
      <c r="D35" s="19" t="s">
        <v>14</v>
      </c>
      <c r="E35" s="4">
        <v>1</v>
      </c>
      <c r="F35" s="17"/>
      <c r="G35" s="17"/>
      <c r="H35" s="17"/>
      <c r="I35" s="17"/>
      <c r="J35" s="18">
        <f t="shared" si="0"/>
        <v>0</v>
      </c>
      <c r="K35" s="6"/>
    </row>
    <row r="36" customHeight="1" outlineLevel="1" spans="1:11">
      <c r="A36" s="10" t="s">
        <v>86</v>
      </c>
      <c r="B36" s="10"/>
      <c r="C36" s="19"/>
      <c r="D36" s="10"/>
      <c r="E36" s="4"/>
      <c r="F36" s="17"/>
      <c r="G36" s="17"/>
      <c r="H36" s="17"/>
      <c r="I36" s="17"/>
      <c r="J36" s="18">
        <f t="shared" si="0"/>
        <v>0</v>
      </c>
      <c r="K36" s="6"/>
    </row>
    <row r="37" customHeight="1" outlineLevel="1" spans="1:11">
      <c r="A37" s="7">
        <v>9</v>
      </c>
      <c r="B37" s="8" t="s">
        <v>12</v>
      </c>
      <c r="C37" s="9" t="s">
        <v>13</v>
      </c>
      <c r="D37" s="10" t="s">
        <v>14</v>
      </c>
      <c r="E37" s="11">
        <v>1</v>
      </c>
      <c r="F37" s="12" t="s">
        <v>15</v>
      </c>
      <c r="G37" s="13" t="s">
        <v>16</v>
      </c>
      <c r="H37" s="14" t="s">
        <v>17</v>
      </c>
      <c r="I37" s="15">
        <v>903</v>
      </c>
      <c r="J37" s="15">
        <f t="shared" si="0"/>
        <v>903</v>
      </c>
      <c r="K37" s="6"/>
    </row>
    <row r="38" customHeight="1" outlineLevel="1" spans="1:11">
      <c r="A38" s="10" t="s">
        <v>87</v>
      </c>
      <c r="B38" s="19"/>
      <c r="C38" s="19"/>
      <c r="D38" s="10"/>
      <c r="E38" s="4"/>
      <c r="F38" s="17"/>
      <c r="G38" s="17"/>
      <c r="H38" s="17"/>
      <c r="I38" s="17"/>
      <c r="J38" s="18">
        <f t="shared" si="0"/>
        <v>0</v>
      </c>
      <c r="K38" s="6"/>
    </row>
    <row r="39" customHeight="1" outlineLevel="1" spans="1:11">
      <c r="A39" s="11"/>
      <c r="B39" s="19" t="s">
        <v>30</v>
      </c>
      <c r="C39" s="10"/>
      <c r="D39" s="10"/>
      <c r="E39" s="11"/>
      <c r="F39" s="17"/>
      <c r="G39" s="17"/>
      <c r="H39" s="17"/>
      <c r="I39" s="17"/>
      <c r="J39" s="18">
        <f t="shared" si="0"/>
        <v>0</v>
      </c>
      <c r="K39" s="6"/>
    </row>
    <row r="40" ht="31" customHeight="1" outlineLevel="1" spans="1:11">
      <c r="A40" s="21">
        <v>1</v>
      </c>
      <c r="B40" s="27" t="s">
        <v>88</v>
      </c>
      <c r="C40" s="19" t="s">
        <v>89</v>
      </c>
      <c r="D40" s="20" t="s">
        <v>14</v>
      </c>
      <c r="E40" s="21">
        <v>1</v>
      </c>
      <c r="F40" s="17" t="s">
        <v>90</v>
      </c>
      <c r="G40" s="17" t="s">
        <v>91</v>
      </c>
      <c r="H40" s="17" t="s">
        <v>92</v>
      </c>
      <c r="I40" s="15">
        <v>1960</v>
      </c>
      <c r="J40" s="15">
        <f t="shared" si="0"/>
        <v>1960</v>
      </c>
      <c r="K40" s="6"/>
    </row>
    <row r="41" ht="52" customHeight="1" outlineLevel="1" spans="1:11">
      <c r="A41" s="21">
        <v>2</v>
      </c>
      <c r="B41" s="27" t="s">
        <v>93</v>
      </c>
      <c r="C41" s="19" t="s">
        <v>94</v>
      </c>
      <c r="D41" s="20" t="s">
        <v>14</v>
      </c>
      <c r="E41" s="21">
        <v>1</v>
      </c>
      <c r="F41" s="17" t="s">
        <v>95</v>
      </c>
      <c r="G41" s="17" t="s">
        <v>96</v>
      </c>
      <c r="H41" s="17" t="s">
        <v>97</v>
      </c>
      <c r="I41" s="15">
        <v>320</v>
      </c>
      <c r="J41" s="15">
        <f t="shared" si="0"/>
        <v>320</v>
      </c>
      <c r="K41" s="6"/>
    </row>
    <row r="42" ht="43" customHeight="1" outlineLevel="1" spans="1:11">
      <c r="A42" s="21">
        <v>3</v>
      </c>
      <c r="B42" s="27" t="s">
        <v>98</v>
      </c>
      <c r="C42" s="19" t="s">
        <v>94</v>
      </c>
      <c r="D42" s="20" t="s">
        <v>14</v>
      </c>
      <c r="E42" s="21">
        <v>25</v>
      </c>
      <c r="F42" s="17" t="s">
        <v>95</v>
      </c>
      <c r="G42" s="17" t="s">
        <v>96</v>
      </c>
      <c r="H42" s="17" t="s">
        <v>97</v>
      </c>
      <c r="I42" s="15">
        <v>320</v>
      </c>
      <c r="J42" s="15">
        <f t="shared" si="0"/>
        <v>8000</v>
      </c>
      <c r="K42" s="6"/>
    </row>
    <row r="43" customHeight="1" outlineLevel="1" spans="1:11">
      <c r="A43" s="21">
        <v>4</v>
      </c>
      <c r="B43" s="27" t="s">
        <v>99</v>
      </c>
      <c r="C43" s="28" t="s">
        <v>100</v>
      </c>
      <c r="D43" s="20" t="s">
        <v>101</v>
      </c>
      <c r="E43" s="21">
        <v>26</v>
      </c>
      <c r="F43" s="17"/>
      <c r="G43" s="17"/>
      <c r="H43" s="17"/>
      <c r="I43" s="15"/>
      <c r="J43" s="15">
        <f t="shared" si="0"/>
        <v>0</v>
      </c>
      <c r="K43" s="6"/>
    </row>
    <row r="44" customHeight="1" outlineLevel="1" spans="1:11">
      <c r="A44" s="21">
        <v>5</v>
      </c>
      <c r="B44" s="27" t="s">
        <v>102</v>
      </c>
      <c r="C44" s="27" t="s">
        <v>103</v>
      </c>
      <c r="D44" s="20" t="s">
        <v>104</v>
      </c>
      <c r="E44" s="21">
        <v>2</v>
      </c>
      <c r="F44" s="17"/>
      <c r="G44" s="17"/>
      <c r="H44" s="17"/>
      <c r="I44" s="15">
        <v>230</v>
      </c>
      <c r="J44" s="15">
        <f t="shared" si="0"/>
        <v>460</v>
      </c>
      <c r="K44" s="6"/>
    </row>
    <row r="45" customHeight="1" outlineLevel="1" spans="1:11">
      <c r="A45" s="21">
        <v>6</v>
      </c>
      <c r="B45" s="27" t="s">
        <v>105</v>
      </c>
      <c r="C45" s="20" t="s">
        <v>106</v>
      </c>
      <c r="D45" s="20" t="s">
        <v>104</v>
      </c>
      <c r="E45" s="21">
        <v>2</v>
      </c>
      <c r="F45" s="17"/>
      <c r="G45" s="17"/>
      <c r="H45" s="17"/>
      <c r="I45" s="17"/>
      <c r="J45" s="18">
        <f t="shared" si="0"/>
        <v>0</v>
      </c>
      <c r="K45" s="6"/>
    </row>
    <row r="46" customHeight="1" outlineLevel="1" spans="1:11">
      <c r="A46" s="21">
        <v>7</v>
      </c>
      <c r="B46" s="27" t="s">
        <v>107</v>
      </c>
      <c r="C46" s="27" t="s">
        <v>108</v>
      </c>
      <c r="D46" s="20" t="s">
        <v>63</v>
      </c>
      <c r="E46" s="21">
        <v>2</v>
      </c>
      <c r="F46" s="17"/>
      <c r="G46" s="17"/>
      <c r="H46" s="17"/>
      <c r="I46" s="17"/>
      <c r="J46" s="18">
        <f t="shared" si="0"/>
        <v>0</v>
      </c>
      <c r="K46" s="6"/>
    </row>
    <row r="47" customHeight="1" outlineLevel="1" spans="1:11">
      <c r="A47" s="11"/>
      <c r="B47" s="19" t="s">
        <v>109</v>
      </c>
      <c r="C47" s="11"/>
      <c r="D47" s="10"/>
      <c r="E47" s="11"/>
      <c r="F47" s="17"/>
      <c r="G47" s="17"/>
      <c r="H47" s="17"/>
      <c r="I47" s="17"/>
      <c r="J47" s="18">
        <f t="shared" si="0"/>
        <v>0</v>
      </c>
      <c r="K47" s="6"/>
    </row>
    <row r="48" customHeight="1" outlineLevel="1" spans="1:11">
      <c r="A48" s="21">
        <v>1</v>
      </c>
      <c r="B48" s="16" t="s">
        <v>110</v>
      </c>
      <c r="C48" s="19" t="s">
        <v>111</v>
      </c>
      <c r="D48" s="16" t="s">
        <v>14</v>
      </c>
      <c r="E48" s="21">
        <v>1</v>
      </c>
      <c r="F48" s="17" t="s">
        <v>112</v>
      </c>
      <c r="G48" s="17" t="s">
        <v>113</v>
      </c>
      <c r="H48" s="17" t="s">
        <v>114</v>
      </c>
      <c r="I48" s="15">
        <v>5660</v>
      </c>
      <c r="J48" s="15">
        <f t="shared" si="0"/>
        <v>5660</v>
      </c>
      <c r="K48" s="29"/>
    </row>
    <row r="49" customHeight="1" outlineLevel="1" spans="1:11">
      <c r="A49" s="21">
        <v>2</v>
      </c>
      <c r="B49" s="16" t="s">
        <v>115</v>
      </c>
      <c r="C49" s="19" t="s">
        <v>116</v>
      </c>
      <c r="D49" s="16" t="s">
        <v>55</v>
      </c>
      <c r="E49" s="21">
        <v>1</v>
      </c>
      <c r="F49" s="17" t="s">
        <v>117</v>
      </c>
      <c r="G49" s="17" t="s">
        <v>118</v>
      </c>
      <c r="H49" s="17" t="s">
        <v>119</v>
      </c>
      <c r="I49" s="15">
        <v>3000</v>
      </c>
      <c r="J49" s="15">
        <f t="shared" si="0"/>
        <v>3000</v>
      </c>
      <c r="K49" s="29"/>
    </row>
    <row r="50" customHeight="1" outlineLevel="1" spans="1:11">
      <c r="A50" s="21">
        <v>3</v>
      </c>
      <c r="B50" s="16" t="s">
        <v>120</v>
      </c>
      <c r="C50" s="19" t="s">
        <v>121</v>
      </c>
      <c r="D50" s="16" t="s">
        <v>14</v>
      </c>
      <c r="E50" s="21">
        <v>1</v>
      </c>
      <c r="F50" s="17" t="s">
        <v>122</v>
      </c>
      <c r="G50" s="17" t="s">
        <v>123</v>
      </c>
      <c r="H50" s="17" t="s">
        <v>124</v>
      </c>
      <c r="I50" s="15">
        <v>1800</v>
      </c>
      <c r="J50" s="15">
        <f t="shared" si="0"/>
        <v>1800</v>
      </c>
      <c r="K50" s="29"/>
    </row>
    <row r="51" customHeight="1" outlineLevel="1" spans="1:11">
      <c r="A51" s="21">
        <v>4</v>
      </c>
      <c r="B51" s="16" t="s">
        <v>125</v>
      </c>
      <c r="C51" s="19" t="s">
        <v>126</v>
      </c>
      <c r="D51" s="16" t="s">
        <v>14</v>
      </c>
      <c r="E51" s="21">
        <v>1</v>
      </c>
      <c r="F51" s="17" t="s">
        <v>127</v>
      </c>
      <c r="G51" s="17" t="s">
        <v>128</v>
      </c>
      <c r="H51" s="17" t="s">
        <v>124</v>
      </c>
      <c r="I51" s="15">
        <v>1800</v>
      </c>
      <c r="J51" s="15">
        <f t="shared" si="0"/>
        <v>1800</v>
      </c>
      <c r="K51" s="29"/>
    </row>
    <row r="52" customHeight="1" outlineLevel="1" spans="1:11">
      <c r="A52" s="21">
        <v>6</v>
      </c>
      <c r="B52" s="16" t="s">
        <v>129</v>
      </c>
      <c r="C52" s="19" t="s">
        <v>130</v>
      </c>
      <c r="D52" s="16" t="s">
        <v>14</v>
      </c>
      <c r="E52" s="21">
        <v>2</v>
      </c>
      <c r="F52" s="17"/>
      <c r="G52" s="17"/>
      <c r="H52" s="17"/>
      <c r="I52" s="15">
        <v>0</v>
      </c>
      <c r="J52" s="15">
        <f t="shared" si="0"/>
        <v>0</v>
      </c>
      <c r="K52" s="30"/>
    </row>
    <row r="53" customHeight="1" outlineLevel="1" spans="1:11">
      <c r="A53" s="21">
        <v>7</v>
      </c>
      <c r="B53" s="16" t="s">
        <v>131</v>
      </c>
      <c r="C53" s="19" t="s">
        <v>132</v>
      </c>
      <c r="D53" s="16" t="s">
        <v>55</v>
      </c>
      <c r="E53" s="21">
        <v>26</v>
      </c>
      <c r="F53" s="17" t="s">
        <v>133</v>
      </c>
      <c r="G53" s="17" t="s">
        <v>134</v>
      </c>
      <c r="H53" s="17" t="s">
        <v>135</v>
      </c>
      <c r="I53" s="15">
        <v>390</v>
      </c>
      <c r="J53" s="15">
        <f t="shared" si="0"/>
        <v>10140</v>
      </c>
      <c r="K53" s="29"/>
    </row>
    <row r="54" customHeight="1" outlineLevel="1" spans="1:11">
      <c r="A54" s="21"/>
      <c r="B54" s="16" t="s">
        <v>136</v>
      </c>
      <c r="C54" s="19"/>
      <c r="D54" s="16"/>
      <c r="E54" s="21">
        <v>26</v>
      </c>
      <c r="F54" s="17" t="s">
        <v>137</v>
      </c>
      <c r="G54" s="17" t="s">
        <v>138</v>
      </c>
      <c r="H54" s="17" t="s">
        <v>139</v>
      </c>
      <c r="I54" s="15">
        <v>1350</v>
      </c>
      <c r="J54" s="15">
        <f t="shared" si="0"/>
        <v>35100</v>
      </c>
      <c r="K54" s="29"/>
    </row>
    <row r="55" customHeight="1" outlineLevel="1" spans="1:11">
      <c r="A55" s="21">
        <v>8</v>
      </c>
      <c r="B55" s="16" t="s">
        <v>140</v>
      </c>
      <c r="C55" s="19" t="s">
        <v>141</v>
      </c>
      <c r="D55" s="16" t="s">
        <v>14</v>
      </c>
      <c r="E55" s="21">
        <v>26</v>
      </c>
      <c r="F55" s="17" t="s">
        <v>142</v>
      </c>
      <c r="G55" s="17" t="s">
        <v>143</v>
      </c>
      <c r="H55" s="17" t="s">
        <v>144</v>
      </c>
      <c r="I55" s="15">
        <v>2350</v>
      </c>
      <c r="J55" s="15">
        <f t="shared" si="0"/>
        <v>61100</v>
      </c>
      <c r="K55" s="29"/>
    </row>
    <row r="56" customHeight="1" outlineLevel="1" spans="1:11">
      <c r="A56" s="11"/>
      <c r="B56" s="19" t="s">
        <v>34</v>
      </c>
      <c r="C56" s="11"/>
      <c r="D56" s="10"/>
      <c r="E56" s="11"/>
      <c r="F56" s="17"/>
      <c r="G56" s="17"/>
      <c r="H56" s="17"/>
      <c r="I56" s="17"/>
      <c r="J56" s="18">
        <f t="shared" ref="J56:J72" si="1">I56*E56</f>
        <v>0</v>
      </c>
      <c r="K56" s="6"/>
    </row>
    <row r="57" customHeight="1" outlineLevel="1" spans="1:11">
      <c r="A57" s="21">
        <v>1</v>
      </c>
      <c r="B57" s="19" t="s">
        <v>35</v>
      </c>
      <c r="C57" s="23" t="s">
        <v>145</v>
      </c>
      <c r="D57" s="20" t="s">
        <v>14</v>
      </c>
      <c r="E57" s="21">
        <v>1</v>
      </c>
      <c r="F57" s="13" t="s">
        <v>37</v>
      </c>
      <c r="G57" s="24" t="s">
        <v>38</v>
      </c>
      <c r="H57" s="13" t="s">
        <v>39</v>
      </c>
      <c r="I57" s="15">
        <v>5060</v>
      </c>
      <c r="J57" s="15">
        <f t="shared" si="1"/>
        <v>5060</v>
      </c>
      <c r="K57" s="6"/>
    </row>
    <row r="58" customHeight="1" outlineLevel="1" spans="1:11">
      <c r="A58" s="21">
        <v>2</v>
      </c>
      <c r="B58" s="19" t="s">
        <v>40</v>
      </c>
      <c r="C58" s="23" t="s">
        <v>41</v>
      </c>
      <c r="D58" s="20" t="s">
        <v>42</v>
      </c>
      <c r="E58" s="21">
        <v>3</v>
      </c>
      <c r="F58" s="13" t="s">
        <v>43</v>
      </c>
      <c r="G58" s="24" t="s">
        <v>44</v>
      </c>
      <c r="H58" s="14" t="s">
        <v>45</v>
      </c>
      <c r="I58" s="15">
        <v>820</v>
      </c>
      <c r="J58" s="15">
        <f t="shared" si="1"/>
        <v>2460</v>
      </c>
      <c r="K58" s="6"/>
    </row>
    <row r="59" customHeight="1" outlineLevel="1" spans="1:11">
      <c r="A59" s="21">
        <v>3</v>
      </c>
      <c r="B59" s="19" t="s">
        <v>46</v>
      </c>
      <c r="C59" s="23" t="s">
        <v>47</v>
      </c>
      <c r="D59" s="20" t="s">
        <v>42</v>
      </c>
      <c r="E59" s="21">
        <v>2</v>
      </c>
      <c r="F59" s="13" t="s">
        <v>43</v>
      </c>
      <c r="G59" s="24" t="s">
        <v>44</v>
      </c>
      <c r="H59" s="14" t="s">
        <v>45</v>
      </c>
      <c r="I59" s="15">
        <v>820</v>
      </c>
      <c r="J59" s="15">
        <f t="shared" si="1"/>
        <v>1640</v>
      </c>
      <c r="K59" s="6"/>
    </row>
    <row r="60" customHeight="1" outlineLevel="1" spans="1:11">
      <c r="A60" s="21">
        <v>4</v>
      </c>
      <c r="B60" s="19" t="s">
        <v>48</v>
      </c>
      <c r="C60" s="19" t="s">
        <v>49</v>
      </c>
      <c r="D60" s="19" t="s">
        <v>14</v>
      </c>
      <c r="E60" s="4">
        <v>1</v>
      </c>
      <c r="F60" s="13" t="s">
        <v>50</v>
      </c>
      <c r="G60" s="24" t="s">
        <v>51</v>
      </c>
      <c r="H60" s="13" t="s">
        <v>52</v>
      </c>
      <c r="I60" s="15">
        <v>1620</v>
      </c>
      <c r="J60" s="15">
        <f t="shared" si="1"/>
        <v>1620</v>
      </c>
      <c r="K60" s="6"/>
    </row>
    <row r="61" customHeight="1" outlineLevel="1" spans="1:11">
      <c r="A61" s="21">
        <v>5</v>
      </c>
      <c r="B61" s="19" t="s">
        <v>53</v>
      </c>
      <c r="C61" s="19" t="s">
        <v>54</v>
      </c>
      <c r="D61" s="19" t="s">
        <v>55</v>
      </c>
      <c r="E61" s="4">
        <v>1</v>
      </c>
      <c r="F61" s="25"/>
      <c r="G61" s="25" t="s">
        <v>56</v>
      </c>
      <c r="H61" s="25"/>
      <c r="I61" s="15">
        <v>3000</v>
      </c>
      <c r="J61" s="15">
        <f t="shared" si="1"/>
        <v>3000</v>
      </c>
      <c r="K61" s="6"/>
    </row>
    <row r="62" customHeight="1" outlineLevel="1" spans="1:11">
      <c r="A62" s="21">
        <v>6</v>
      </c>
      <c r="B62" s="19" t="s">
        <v>57</v>
      </c>
      <c r="C62" s="19" t="s">
        <v>58</v>
      </c>
      <c r="D62" s="19" t="s">
        <v>55</v>
      </c>
      <c r="E62" s="4">
        <v>1</v>
      </c>
      <c r="F62" s="25"/>
      <c r="G62" s="25" t="s">
        <v>56</v>
      </c>
      <c r="H62" s="25"/>
      <c r="I62" s="15">
        <v>3000</v>
      </c>
      <c r="J62" s="15">
        <f t="shared" si="1"/>
        <v>3000</v>
      </c>
      <c r="K62" s="6"/>
    </row>
    <row r="63" customHeight="1" outlineLevel="1" spans="1:11">
      <c r="A63" s="21">
        <v>7</v>
      </c>
      <c r="B63" s="19" t="s">
        <v>59</v>
      </c>
      <c r="C63" s="19" t="s">
        <v>60</v>
      </c>
      <c r="D63" s="19" t="s">
        <v>55</v>
      </c>
      <c r="E63" s="4">
        <v>1</v>
      </c>
      <c r="F63" s="25"/>
      <c r="G63" s="25" t="s">
        <v>56</v>
      </c>
      <c r="H63" s="25"/>
      <c r="I63" s="15">
        <v>3000</v>
      </c>
      <c r="J63" s="15">
        <f t="shared" si="1"/>
        <v>3000</v>
      </c>
      <c r="K63" s="6"/>
    </row>
    <row r="64" customHeight="1" outlineLevel="1" spans="1:11">
      <c r="A64" s="21">
        <v>8</v>
      </c>
      <c r="B64" s="19" t="s">
        <v>61</v>
      </c>
      <c r="C64" s="23" t="s">
        <v>62</v>
      </c>
      <c r="D64" s="19" t="s">
        <v>63</v>
      </c>
      <c r="E64" s="4">
        <v>1</v>
      </c>
      <c r="F64" s="13" t="s">
        <v>64</v>
      </c>
      <c r="G64" s="12" t="s">
        <v>65</v>
      </c>
      <c r="H64" s="26" t="s">
        <v>66</v>
      </c>
      <c r="I64" s="15">
        <v>1520</v>
      </c>
      <c r="J64" s="15">
        <f t="shared" si="1"/>
        <v>1520</v>
      </c>
      <c r="K64" s="6"/>
    </row>
    <row r="65" customHeight="1" outlineLevel="1" spans="1:11">
      <c r="A65" s="21">
        <v>9</v>
      </c>
      <c r="B65" s="19" t="s">
        <v>72</v>
      </c>
      <c r="C65" s="19" t="s">
        <v>73</v>
      </c>
      <c r="D65" s="19" t="s">
        <v>14</v>
      </c>
      <c r="E65" s="4">
        <v>1</v>
      </c>
      <c r="F65" s="13" t="s">
        <v>74</v>
      </c>
      <c r="G65" s="12" t="s">
        <v>75</v>
      </c>
      <c r="H65" s="14" t="s">
        <v>76</v>
      </c>
      <c r="I65" s="15">
        <v>998</v>
      </c>
      <c r="J65" s="15">
        <f t="shared" si="1"/>
        <v>998</v>
      </c>
      <c r="K65" s="6"/>
    </row>
    <row r="66" customHeight="1" outlineLevel="1" spans="1:11">
      <c r="A66" s="21">
        <v>10</v>
      </c>
      <c r="B66" s="19" t="s">
        <v>77</v>
      </c>
      <c r="C66" s="9" t="s">
        <v>78</v>
      </c>
      <c r="D66" s="10" t="s">
        <v>14</v>
      </c>
      <c r="E66" s="11">
        <v>3</v>
      </c>
      <c r="F66" s="13" t="s">
        <v>79</v>
      </c>
      <c r="G66" s="12" t="s">
        <v>80</v>
      </c>
      <c r="H66" s="14" t="s">
        <v>81</v>
      </c>
      <c r="I66" s="15">
        <v>2040</v>
      </c>
      <c r="J66" s="15">
        <f t="shared" si="1"/>
        <v>6120</v>
      </c>
      <c r="K66" s="6"/>
    </row>
    <row r="67" customHeight="1" outlineLevel="1" spans="1:11">
      <c r="A67" s="21">
        <v>11</v>
      </c>
      <c r="B67" s="19" t="s">
        <v>82</v>
      </c>
      <c r="C67" s="19" t="s">
        <v>83</v>
      </c>
      <c r="D67" s="19" t="s">
        <v>14</v>
      </c>
      <c r="E67" s="4">
        <v>1</v>
      </c>
      <c r="F67" s="18"/>
      <c r="G67" s="18"/>
      <c r="H67" s="18"/>
      <c r="I67" s="31"/>
      <c r="J67" s="18">
        <f t="shared" si="1"/>
        <v>0</v>
      </c>
      <c r="K67" s="6"/>
    </row>
    <row r="68" customHeight="1" outlineLevel="1" spans="1:11">
      <c r="A68" s="21">
        <v>12</v>
      </c>
      <c r="B68" s="19" t="s">
        <v>84</v>
      </c>
      <c r="C68" s="19" t="s">
        <v>85</v>
      </c>
      <c r="D68" s="19" t="s">
        <v>14</v>
      </c>
      <c r="E68" s="4">
        <v>1</v>
      </c>
      <c r="F68" s="17"/>
      <c r="G68" s="17"/>
      <c r="H68" s="17"/>
      <c r="I68" s="17"/>
      <c r="J68" s="18">
        <f t="shared" si="1"/>
        <v>0</v>
      </c>
      <c r="K68" s="6"/>
    </row>
    <row r="69" customHeight="1" outlineLevel="1" spans="1:11">
      <c r="A69" s="7">
        <v>15</v>
      </c>
      <c r="B69" s="8" t="s">
        <v>146</v>
      </c>
      <c r="C69" s="19" t="s">
        <v>147</v>
      </c>
      <c r="D69" s="8" t="s">
        <v>14</v>
      </c>
      <c r="E69" s="7">
        <v>1</v>
      </c>
      <c r="F69" s="17"/>
      <c r="G69" s="17"/>
      <c r="H69" s="17"/>
      <c r="I69" s="17"/>
      <c r="J69" s="18">
        <f t="shared" si="1"/>
        <v>0</v>
      </c>
      <c r="K69" s="6"/>
    </row>
    <row r="70" customHeight="1" outlineLevel="1" spans="1:11">
      <c r="A70" s="10" t="s">
        <v>148</v>
      </c>
      <c r="B70" s="10"/>
      <c r="C70" s="19"/>
      <c r="D70" s="10"/>
      <c r="E70" s="4"/>
      <c r="F70" s="17"/>
      <c r="G70" s="17"/>
      <c r="H70" s="17"/>
      <c r="I70" s="17"/>
      <c r="J70" s="18">
        <f t="shared" si="1"/>
        <v>0</v>
      </c>
      <c r="K70" s="6"/>
    </row>
    <row r="71" customHeight="1" outlineLevel="1" spans="1:11">
      <c r="A71" s="7">
        <v>9</v>
      </c>
      <c r="B71" s="8" t="s">
        <v>12</v>
      </c>
      <c r="C71" s="9" t="s">
        <v>13</v>
      </c>
      <c r="D71" s="10" t="s">
        <v>14</v>
      </c>
      <c r="E71" s="11">
        <v>1</v>
      </c>
      <c r="F71" s="12" t="s">
        <v>15</v>
      </c>
      <c r="G71" s="13" t="s">
        <v>16</v>
      </c>
      <c r="H71" s="14" t="s">
        <v>17</v>
      </c>
      <c r="I71" s="15">
        <v>903</v>
      </c>
      <c r="J71" s="15">
        <f t="shared" si="1"/>
        <v>903</v>
      </c>
      <c r="K71" s="6"/>
    </row>
    <row r="72" ht="28" customHeight="1" outlineLevel="1" spans="1:11">
      <c r="A72" s="10" t="s">
        <v>149</v>
      </c>
      <c r="B72" s="19"/>
      <c r="C72" s="19"/>
      <c r="D72" s="10"/>
      <c r="E72" s="4"/>
      <c r="F72" s="17"/>
      <c r="G72" s="17"/>
      <c r="H72" s="17"/>
      <c r="I72" s="17"/>
      <c r="J72" s="18">
        <f t="shared" si="1"/>
        <v>0</v>
      </c>
      <c r="K72" s="6"/>
    </row>
    <row r="73" customHeight="1" outlineLevel="1" spans="1:11">
      <c r="A73" s="11"/>
      <c r="B73" s="19" t="s">
        <v>34</v>
      </c>
      <c r="C73" s="11"/>
      <c r="D73" s="10"/>
      <c r="E73" s="11"/>
      <c r="F73" s="17"/>
      <c r="G73" s="17"/>
      <c r="H73" s="17"/>
      <c r="I73" s="17"/>
      <c r="J73" s="18">
        <f t="shared" ref="J73:J112" si="2">I73*E73</f>
        <v>0</v>
      </c>
      <c r="K73" s="6"/>
    </row>
    <row r="74" customHeight="1" outlineLevel="1" spans="1:11">
      <c r="A74" s="21">
        <v>1</v>
      </c>
      <c r="B74" s="19" t="s">
        <v>35</v>
      </c>
      <c r="C74" s="23" t="s">
        <v>145</v>
      </c>
      <c r="D74" s="20" t="s">
        <v>14</v>
      </c>
      <c r="E74" s="21">
        <v>1</v>
      </c>
      <c r="F74" s="13" t="s">
        <v>37</v>
      </c>
      <c r="G74" s="24" t="s">
        <v>38</v>
      </c>
      <c r="H74" s="13" t="s">
        <v>39</v>
      </c>
      <c r="I74" s="15">
        <v>5060</v>
      </c>
      <c r="J74" s="15">
        <f t="shared" si="2"/>
        <v>5060</v>
      </c>
      <c r="K74" s="6"/>
    </row>
    <row r="75" customHeight="1" outlineLevel="1" spans="1:11">
      <c r="A75" s="21">
        <v>2</v>
      </c>
      <c r="B75" s="19" t="s">
        <v>40</v>
      </c>
      <c r="C75" s="23" t="s">
        <v>150</v>
      </c>
      <c r="D75" s="20" t="s">
        <v>42</v>
      </c>
      <c r="E75" s="21">
        <v>3</v>
      </c>
      <c r="F75" s="13" t="s">
        <v>43</v>
      </c>
      <c r="G75" s="24" t="s">
        <v>44</v>
      </c>
      <c r="H75" s="14" t="s">
        <v>45</v>
      </c>
      <c r="I75" s="15">
        <v>820</v>
      </c>
      <c r="J75" s="15">
        <f t="shared" si="2"/>
        <v>2460</v>
      </c>
      <c r="K75" s="6"/>
    </row>
    <row r="76" customHeight="1" outlineLevel="1" spans="1:11">
      <c r="A76" s="21">
        <v>3</v>
      </c>
      <c r="B76" s="19" t="s">
        <v>46</v>
      </c>
      <c r="C76" s="23" t="s">
        <v>151</v>
      </c>
      <c r="D76" s="20" t="s">
        <v>42</v>
      </c>
      <c r="E76" s="21">
        <v>3</v>
      </c>
      <c r="F76" s="13" t="s">
        <v>43</v>
      </c>
      <c r="G76" s="24" t="s">
        <v>44</v>
      </c>
      <c r="H76" s="14" t="s">
        <v>45</v>
      </c>
      <c r="I76" s="15">
        <v>820</v>
      </c>
      <c r="J76" s="15">
        <f t="shared" si="2"/>
        <v>2460</v>
      </c>
      <c r="K76" s="6"/>
    </row>
    <row r="77" customHeight="1" outlineLevel="1" spans="1:11">
      <c r="A77" s="21">
        <v>4</v>
      </c>
      <c r="B77" s="19" t="s">
        <v>48</v>
      </c>
      <c r="C77" s="19" t="s">
        <v>49</v>
      </c>
      <c r="D77" s="19" t="s">
        <v>14</v>
      </c>
      <c r="E77" s="4">
        <v>1</v>
      </c>
      <c r="F77" s="13" t="s">
        <v>50</v>
      </c>
      <c r="G77" s="24" t="s">
        <v>51</v>
      </c>
      <c r="H77" s="13" t="s">
        <v>52</v>
      </c>
      <c r="I77" s="15">
        <v>1620</v>
      </c>
      <c r="J77" s="15">
        <f t="shared" si="2"/>
        <v>1620</v>
      </c>
      <c r="K77" s="6"/>
    </row>
    <row r="78" customHeight="1" outlineLevel="1" spans="1:11">
      <c r="A78" s="21">
        <v>5</v>
      </c>
      <c r="B78" s="19" t="s">
        <v>53</v>
      </c>
      <c r="C78" s="19" t="s">
        <v>54</v>
      </c>
      <c r="D78" s="19" t="s">
        <v>55</v>
      </c>
      <c r="E78" s="4">
        <v>1</v>
      </c>
      <c r="F78" s="25"/>
      <c r="G78" s="25" t="s">
        <v>56</v>
      </c>
      <c r="H78" s="25"/>
      <c r="I78" s="15">
        <v>5000</v>
      </c>
      <c r="J78" s="15">
        <f t="shared" si="2"/>
        <v>5000</v>
      </c>
      <c r="K78" s="6"/>
    </row>
    <row r="79" customHeight="1" outlineLevel="1" spans="1:11">
      <c r="A79" s="21">
        <v>6</v>
      </c>
      <c r="B79" s="19" t="s">
        <v>57</v>
      </c>
      <c r="C79" s="19" t="s">
        <v>58</v>
      </c>
      <c r="D79" s="19" t="s">
        <v>55</v>
      </c>
      <c r="E79" s="4">
        <v>1</v>
      </c>
      <c r="F79" s="25"/>
      <c r="G79" s="25" t="s">
        <v>56</v>
      </c>
      <c r="H79" s="25"/>
      <c r="I79" s="15">
        <v>5000</v>
      </c>
      <c r="J79" s="15">
        <f t="shared" si="2"/>
        <v>5000</v>
      </c>
      <c r="K79" s="6"/>
    </row>
    <row r="80" customHeight="1" outlineLevel="1" spans="1:11">
      <c r="A80" s="21">
        <v>7</v>
      </c>
      <c r="B80" s="19" t="s">
        <v>59</v>
      </c>
      <c r="C80" s="19" t="s">
        <v>60</v>
      </c>
      <c r="D80" s="19" t="s">
        <v>55</v>
      </c>
      <c r="E80" s="4">
        <v>1</v>
      </c>
      <c r="F80" s="25"/>
      <c r="G80" s="25" t="s">
        <v>56</v>
      </c>
      <c r="H80" s="25"/>
      <c r="I80" s="15">
        <v>5000</v>
      </c>
      <c r="J80" s="15">
        <f t="shared" si="2"/>
        <v>5000</v>
      </c>
      <c r="K80" s="6"/>
    </row>
    <row r="81" customHeight="1" outlineLevel="1" spans="1:11">
      <c r="A81" s="21">
        <v>8</v>
      </c>
      <c r="B81" s="19" t="s">
        <v>61</v>
      </c>
      <c r="C81" s="23" t="s">
        <v>62</v>
      </c>
      <c r="D81" s="19" t="s">
        <v>63</v>
      </c>
      <c r="E81" s="4">
        <v>1</v>
      </c>
      <c r="F81" s="13" t="s">
        <v>64</v>
      </c>
      <c r="G81" s="12" t="s">
        <v>65</v>
      </c>
      <c r="H81" s="26" t="s">
        <v>66</v>
      </c>
      <c r="I81" s="15">
        <v>1520</v>
      </c>
      <c r="J81" s="15">
        <f t="shared" si="2"/>
        <v>1520</v>
      </c>
      <c r="K81" s="6"/>
    </row>
    <row r="82" customHeight="1" outlineLevel="1" spans="1:11">
      <c r="A82" s="21">
        <v>9</v>
      </c>
      <c r="B82" s="19" t="s">
        <v>67</v>
      </c>
      <c r="C82" s="23" t="s">
        <v>68</v>
      </c>
      <c r="D82" s="19" t="s">
        <v>14</v>
      </c>
      <c r="E82" s="4">
        <v>2</v>
      </c>
      <c r="F82" s="13" t="s">
        <v>69</v>
      </c>
      <c r="G82" s="12" t="s">
        <v>70</v>
      </c>
      <c r="H82" s="14" t="s">
        <v>71</v>
      </c>
      <c r="I82" s="15">
        <v>610</v>
      </c>
      <c r="J82" s="15">
        <f t="shared" si="2"/>
        <v>1220</v>
      </c>
      <c r="K82" s="6"/>
    </row>
    <row r="83" customHeight="1" outlineLevel="1" spans="1:11">
      <c r="A83" s="21">
        <v>10</v>
      </c>
      <c r="B83" s="19" t="s">
        <v>72</v>
      </c>
      <c r="C83" s="19" t="s">
        <v>73</v>
      </c>
      <c r="D83" s="19" t="s">
        <v>14</v>
      </c>
      <c r="E83" s="4">
        <v>1</v>
      </c>
      <c r="F83" s="13" t="s">
        <v>74</v>
      </c>
      <c r="G83" s="12" t="s">
        <v>75</v>
      </c>
      <c r="H83" s="14" t="s">
        <v>76</v>
      </c>
      <c r="I83" s="15">
        <v>998</v>
      </c>
      <c r="J83" s="15">
        <f t="shared" si="2"/>
        <v>998</v>
      </c>
      <c r="K83" s="6"/>
    </row>
    <row r="84" customHeight="1" outlineLevel="1" spans="1:11">
      <c r="A84" s="21">
        <v>11</v>
      </c>
      <c r="B84" s="19" t="s">
        <v>77</v>
      </c>
      <c r="C84" s="9" t="s">
        <v>78</v>
      </c>
      <c r="D84" s="10" t="s">
        <v>14</v>
      </c>
      <c r="E84" s="11">
        <v>4</v>
      </c>
      <c r="F84" s="13" t="s">
        <v>79</v>
      </c>
      <c r="G84" s="12" t="s">
        <v>80</v>
      </c>
      <c r="H84" s="14" t="s">
        <v>81</v>
      </c>
      <c r="I84" s="15">
        <v>2040</v>
      </c>
      <c r="J84" s="15">
        <f t="shared" si="2"/>
        <v>8160</v>
      </c>
      <c r="K84" s="6"/>
    </row>
    <row r="85" customHeight="1" outlineLevel="1" spans="1:11">
      <c r="A85" s="21">
        <v>12</v>
      </c>
      <c r="B85" s="19" t="s">
        <v>82</v>
      </c>
      <c r="C85" s="19" t="s">
        <v>83</v>
      </c>
      <c r="D85" s="19" t="s">
        <v>14</v>
      </c>
      <c r="E85" s="4">
        <v>1</v>
      </c>
      <c r="F85" s="17"/>
      <c r="G85" s="17"/>
      <c r="H85" s="17"/>
      <c r="I85" s="17"/>
      <c r="J85" s="18">
        <f t="shared" si="2"/>
        <v>0</v>
      </c>
      <c r="K85" s="6"/>
    </row>
    <row r="86" customHeight="1" outlineLevel="1" spans="1:11">
      <c r="A86" s="21">
        <v>13</v>
      </c>
      <c r="B86" s="19" t="s">
        <v>84</v>
      </c>
      <c r="C86" s="19" t="s">
        <v>85</v>
      </c>
      <c r="D86" s="19" t="s">
        <v>14</v>
      </c>
      <c r="E86" s="4">
        <v>1</v>
      </c>
      <c r="F86" s="17"/>
      <c r="G86" s="17"/>
      <c r="H86" s="17"/>
      <c r="I86" s="17"/>
      <c r="J86" s="18">
        <f t="shared" si="2"/>
        <v>0</v>
      </c>
      <c r="K86" s="6"/>
    </row>
    <row r="87" customHeight="1" outlineLevel="1" spans="1:11">
      <c r="A87" s="10" t="s">
        <v>152</v>
      </c>
      <c r="B87" s="10"/>
      <c r="C87" s="19"/>
      <c r="D87" s="10"/>
      <c r="E87" s="4"/>
      <c r="F87" s="17"/>
      <c r="G87" s="17"/>
      <c r="H87" s="17"/>
      <c r="I87" s="17"/>
      <c r="J87" s="18">
        <f t="shared" si="2"/>
        <v>0</v>
      </c>
      <c r="K87" s="6"/>
    </row>
    <row r="88" customHeight="1" outlineLevel="1" spans="1:11">
      <c r="A88" s="7">
        <v>1</v>
      </c>
      <c r="B88" s="8" t="s">
        <v>153</v>
      </c>
      <c r="C88" s="19" t="s">
        <v>154</v>
      </c>
      <c r="D88" s="8" t="s">
        <v>14</v>
      </c>
      <c r="E88" s="7">
        <v>1</v>
      </c>
      <c r="F88" s="17"/>
      <c r="G88" s="17"/>
      <c r="H88" s="17"/>
      <c r="I88" s="17"/>
      <c r="J88" s="18">
        <f t="shared" si="2"/>
        <v>0</v>
      </c>
      <c r="K88" s="6"/>
    </row>
    <row r="89" customHeight="1" outlineLevel="1" spans="1:11">
      <c r="A89" s="7">
        <v>2</v>
      </c>
      <c r="B89" s="8" t="s">
        <v>155</v>
      </c>
      <c r="C89" s="19" t="s">
        <v>156</v>
      </c>
      <c r="D89" s="8" t="s">
        <v>20</v>
      </c>
      <c r="E89" s="7">
        <v>1</v>
      </c>
      <c r="F89" s="17"/>
      <c r="G89" s="17"/>
      <c r="H89" s="17"/>
      <c r="I89" s="17"/>
      <c r="J89" s="18">
        <f t="shared" si="2"/>
        <v>0</v>
      </c>
      <c r="K89" s="6"/>
    </row>
    <row r="90" customHeight="1" outlineLevel="1" spans="1:11">
      <c r="A90" s="32" t="s">
        <v>157</v>
      </c>
      <c r="B90" s="33"/>
      <c r="C90" s="19"/>
      <c r="D90" s="10"/>
      <c r="E90" s="4"/>
      <c r="F90" s="17"/>
      <c r="G90" s="17"/>
      <c r="H90" s="17"/>
      <c r="I90" s="17"/>
      <c r="J90" s="18">
        <f t="shared" si="2"/>
        <v>0</v>
      </c>
      <c r="K90" s="6"/>
    </row>
    <row r="91" customHeight="1" outlineLevel="1" spans="1:11">
      <c r="A91" s="11"/>
      <c r="B91" s="19" t="s">
        <v>34</v>
      </c>
      <c r="C91" s="10"/>
      <c r="D91" s="10"/>
      <c r="E91" s="11"/>
      <c r="F91" s="17"/>
      <c r="G91" s="17"/>
      <c r="H91" s="17"/>
      <c r="I91" s="17"/>
      <c r="J91" s="18">
        <f t="shared" ref="J91:J146" si="3">I91*E91</f>
        <v>0</v>
      </c>
      <c r="K91" s="6"/>
    </row>
    <row r="92" customHeight="1" spans="1:11">
      <c r="A92" s="21">
        <v>1</v>
      </c>
      <c r="B92" s="19" t="s">
        <v>35</v>
      </c>
      <c r="C92" s="23" t="s">
        <v>158</v>
      </c>
      <c r="D92" s="20" t="s">
        <v>14</v>
      </c>
      <c r="E92" s="21">
        <v>1</v>
      </c>
      <c r="F92" s="13" t="s">
        <v>37</v>
      </c>
      <c r="G92" s="24" t="s">
        <v>38</v>
      </c>
      <c r="H92" s="13" t="s">
        <v>39</v>
      </c>
      <c r="I92" s="15">
        <v>5060</v>
      </c>
      <c r="J92" s="15">
        <f t="shared" si="3"/>
        <v>5060</v>
      </c>
      <c r="K92" s="6"/>
    </row>
    <row r="93" customHeight="1" outlineLevel="1" spans="1:11">
      <c r="A93" s="21">
        <v>2</v>
      </c>
      <c r="B93" s="19" t="s">
        <v>40</v>
      </c>
      <c r="C93" s="23" t="s">
        <v>41</v>
      </c>
      <c r="D93" s="20" t="s">
        <v>42</v>
      </c>
      <c r="E93" s="21">
        <v>1</v>
      </c>
      <c r="F93" s="13" t="s">
        <v>43</v>
      </c>
      <c r="G93" s="24" t="s">
        <v>44</v>
      </c>
      <c r="H93" s="14" t="s">
        <v>45</v>
      </c>
      <c r="I93" s="15">
        <v>820</v>
      </c>
      <c r="J93" s="15">
        <f t="shared" si="3"/>
        <v>820</v>
      </c>
      <c r="K93" s="6"/>
    </row>
    <row r="94" customHeight="1" outlineLevel="1" spans="1:11">
      <c r="A94" s="21">
        <v>3</v>
      </c>
      <c r="B94" s="19" t="s">
        <v>46</v>
      </c>
      <c r="C94" s="23" t="s">
        <v>47</v>
      </c>
      <c r="D94" s="20" t="s">
        <v>42</v>
      </c>
      <c r="E94" s="21">
        <v>1</v>
      </c>
      <c r="F94" s="13" t="s">
        <v>43</v>
      </c>
      <c r="G94" s="24" t="s">
        <v>44</v>
      </c>
      <c r="H94" s="14" t="s">
        <v>45</v>
      </c>
      <c r="I94" s="15">
        <v>820</v>
      </c>
      <c r="J94" s="15">
        <f t="shared" si="3"/>
        <v>820</v>
      </c>
      <c r="K94" s="6"/>
    </row>
    <row r="95" customHeight="1" spans="1:11">
      <c r="A95" s="21">
        <v>4</v>
      </c>
      <c r="B95" s="19" t="s">
        <v>48</v>
      </c>
      <c r="C95" s="19" t="s">
        <v>49</v>
      </c>
      <c r="D95" s="19" t="s">
        <v>14</v>
      </c>
      <c r="E95" s="4">
        <v>1</v>
      </c>
      <c r="F95" s="13" t="s">
        <v>50</v>
      </c>
      <c r="G95" s="24" t="s">
        <v>51</v>
      </c>
      <c r="H95" s="13" t="s">
        <v>52</v>
      </c>
      <c r="I95" s="15">
        <v>1620</v>
      </c>
      <c r="J95" s="15">
        <f t="shared" si="3"/>
        <v>1620</v>
      </c>
      <c r="K95" s="6"/>
    </row>
    <row r="96" customHeight="1" outlineLevel="1" spans="1:11">
      <c r="A96" s="21">
        <v>5</v>
      </c>
      <c r="B96" s="19" t="s">
        <v>53</v>
      </c>
      <c r="C96" s="19" t="s">
        <v>54</v>
      </c>
      <c r="D96" s="19" t="s">
        <v>55</v>
      </c>
      <c r="E96" s="4">
        <v>1</v>
      </c>
      <c r="F96" s="25"/>
      <c r="G96" s="25" t="s">
        <v>56</v>
      </c>
      <c r="H96" s="25"/>
      <c r="I96" s="15">
        <v>3000</v>
      </c>
      <c r="J96" s="15">
        <v>5000</v>
      </c>
      <c r="K96" s="6"/>
    </row>
    <row r="97" customHeight="1" outlineLevel="1" spans="1:11">
      <c r="A97" s="21">
        <v>6</v>
      </c>
      <c r="B97" s="19" t="s">
        <v>57</v>
      </c>
      <c r="C97" s="19" t="s">
        <v>58</v>
      </c>
      <c r="D97" s="19" t="s">
        <v>55</v>
      </c>
      <c r="E97" s="4">
        <v>1</v>
      </c>
      <c r="F97" s="25"/>
      <c r="G97" s="25" t="s">
        <v>56</v>
      </c>
      <c r="H97" s="25"/>
      <c r="I97" s="15">
        <v>3000</v>
      </c>
      <c r="J97" s="15">
        <v>5000</v>
      </c>
      <c r="K97" s="6"/>
    </row>
    <row r="98" customHeight="1" outlineLevel="1" spans="1:11">
      <c r="A98" s="21">
        <v>7</v>
      </c>
      <c r="B98" s="19" t="s">
        <v>59</v>
      </c>
      <c r="C98" s="19" t="s">
        <v>60</v>
      </c>
      <c r="D98" s="19" t="s">
        <v>55</v>
      </c>
      <c r="E98" s="4">
        <v>1</v>
      </c>
      <c r="F98" s="25"/>
      <c r="G98" s="25" t="s">
        <v>56</v>
      </c>
      <c r="H98" s="25"/>
      <c r="I98" s="15">
        <v>3000</v>
      </c>
      <c r="J98" s="15">
        <v>5000</v>
      </c>
      <c r="K98" s="6"/>
    </row>
    <row r="99" customHeight="1" outlineLevel="1" spans="1:11">
      <c r="A99" s="21">
        <v>8</v>
      </c>
      <c r="B99" s="19" t="s">
        <v>61</v>
      </c>
      <c r="C99" s="23" t="s">
        <v>62</v>
      </c>
      <c r="D99" s="19" t="s">
        <v>63</v>
      </c>
      <c r="E99" s="4">
        <v>1</v>
      </c>
      <c r="F99" s="13" t="s">
        <v>64</v>
      </c>
      <c r="G99" s="12" t="s">
        <v>65</v>
      </c>
      <c r="H99" s="26" t="s">
        <v>66</v>
      </c>
      <c r="I99" s="15">
        <v>1520</v>
      </c>
      <c r="J99" s="15">
        <f t="shared" si="3"/>
        <v>1520</v>
      </c>
      <c r="K99" s="6"/>
    </row>
    <row r="100" customHeight="1" outlineLevel="1" spans="1:11">
      <c r="A100" s="21">
        <v>9</v>
      </c>
      <c r="B100" s="19" t="s">
        <v>72</v>
      </c>
      <c r="C100" s="19" t="s">
        <v>73</v>
      </c>
      <c r="D100" s="19" t="s">
        <v>14</v>
      </c>
      <c r="E100" s="4">
        <v>1</v>
      </c>
      <c r="F100" s="13" t="s">
        <v>74</v>
      </c>
      <c r="G100" s="12" t="s">
        <v>75</v>
      </c>
      <c r="H100" s="14" t="s">
        <v>76</v>
      </c>
      <c r="I100" s="15">
        <v>998</v>
      </c>
      <c r="J100" s="15">
        <f t="shared" si="3"/>
        <v>998</v>
      </c>
      <c r="K100" s="6"/>
    </row>
    <row r="101" customHeight="1" outlineLevel="1" spans="1:11">
      <c r="A101" s="21">
        <v>10</v>
      </c>
      <c r="B101" s="19" t="s">
        <v>77</v>
      </c>
      <c r="C101" s="9" t="s">
        <v>78</v>
      </c>
      <c r="D101" s="10" t="s">
        <v>14</v>
      </c>
      <c r="E101" s="11">
        <v>1</v>
      </c>
      <c r="F101" s="13" t="s">
        <v>79</v>
      </c>
      <c r="G101" s="12" t="s">
        <v>80</v>
      </c>
      <c r="H101" s="14" t="s">
        <v>81</v>
      </c>
      <c r="I101" s="15">
        <v>2040</v>
      </c>
      <c r="J101" s="15">
        <f t="shared" si="3"/>
        <v>2040</v>
      </c>
      <c r="K101" s="6"/>
    </row>
    <row r="102" customHeight="1" outlineLevel="1" spans="1:11">
      <c r="A102" s="21">
        <v>11</v>
      </c>
      <c r="B102" s="19" t="s">
        <v>82</v>
      </c>
      <c r="C102" s="19" t="s">
        <v>83</v>
      </c>
      <c r="D102" s="19" t="s">
        <v>14</v>
      </c>
      <c r="E102" s="4">
        <v>1</v>
      </c>
      <c r="F102" s="34"/>
      <c r="G102" s="34"/>
      <c r="H102" s="34"/>
      <c r="I102" s="34"/>
      <c r="J102" s="18">
        <f t="shared" si="3"/>
        <v>0</v>
      </c>
      <c r="K102" s="6"/>
    </row>
    <row r="103" customHeight="1" outlineLevel="1" spans="1:11">
      <c r="A103" s="21">
        <v>12</v>
      </c>
      <c r="B103" s="19" t="s">
        <v>84</v>
      </c>
      <c r="C103" s="19" t="s">
        <v>85</v>
      </c>
      <c r="D103" s="19" t="s">
        <v>14</v>
      </c>
      <c r="E103" s="4">
        <v>1</v>
      </c>
      <c r="F103" s="17"/>
      <c r="G103" s="17"/>
      <c r="H103" s="17"/>
      <c r="I103" s="17"/>
      <c r="J103" s="18">
        <f t="shared" si="3"/>
        <v>0</v>
      </c>
      <c r="K103" s="6"/>
    </row>
    <row r="104" customHeight="1" outlineLevel="1" spans="1:11">
      <c r="A104" s="10" t="s">
        <v>159</v>
      </c>
      <c r="B104" s="10"/>
      <c r="C104" s="19"/>
      <c r="D104" s="10"/>
      <c r="E104" s="4"/>
      <c r="F104" s="17"/>
      <c r="G104" s="17"/>
      <c r="H104" s="17"/>
      <c r="I104" s="17"/>
      <c r="J104" s="18">
        <f t="shared" si="3"/>
        <v>0</v>
      </c>
      <c r="K104" s="6"/>
    </row>
    <row r="105" customHeight="1" outlineLevel="1" spans="1:11">
      <c r="A105" s="11"/>
      <c r="B105" s="19" t="s">
        <v>30</v>
      </c>
      <c r="C105" s="10"/>
      <c r="D105" s="10"/>
      <c r="E105" s="11"/>
      <c r="F105" s="17"/>
      <c r="G105" s="17"/>
      <c r="H105" s="17"/>
      <c r="I105" s="17"/>
      <c r="J105" s="18">
        <f t="shared" si="3"/>
        <v>0</v>
      </c>
      <c r="K105" s="6"/>
    </row>
    <row r="106" customHeight="1" outlineLevel="1" spans="1:11">
      <c r="A106" s="21">
        <v>1</v>
      </c>
      <c r="B106" s="27" t="s">
        <v>88</v>
      </c>
      <c r="C106" s="19" t="s">
        <v>89</v>
      </c>
      <c r="D106" s="20" t="s">
        <v>14</v>
      </c>
      <c r="E106" s="21">
        <v>1</v>
      </c>
      <c r="F106" s="17" t="s">
        <v>90</v>
      </c>
      <c r="G106" s="17" t="s">
        <v>91</v>
      </c>
      <c r="H106" s="17" t="s">
        <v>92</v>
      </c>
      <c r="I106" s="15">
        <v>1960</v>
      </c>
      <c r="J106" s="15">
        <f t="shared" si="3"/>
        <v>1960</v>
      </c>
      <c r="K106" s="6"/>
    </row>
    <row r="107" customHeight="1" outlineLevel="1" spans="1:11">
      <c r="A107" s="21">
        <v>2</v>
      </c>
      <c r="B107" s="27" t="s">
        <v>93</v>
      </c>
      <c r="C107" s="19" t="s">
        <v>160</v>
      </c>
      <c r="D107" s="20" t="s">
        <v>14</v>
      </c>
      <c r="E107" s="21">
        <v>1</v>
      </c>
      <c r="F107" s="17" t="s">
        <v>95</v>
      </c>
      <c r="G107" s="17" t="s">
        <v>96</v>
      </c>
      <c r="H107" s="17" t="s">
        <v>97</v>
      </c>
      <c r="I107" s="15">
        <v>320</v>
      </c>
      <c r="J107" s="15">
        <f t="shared" si="3"/>
        <v>320</v>
      </c>
      <c r="K107" s="6"/>
    </row>
    <row r="108" customHeight="1" outlineLevel="1" spans="1:11">
      <c r="A108" s="21">
        <v>3</v>
      </c>
      <c r="B108" s="27" t="s">
        <v>98</v>
      </c>
      <c r="C108" s="19" t="s">
        <v>161</v>
      </c>
      <c r="D108" s="20" t="s">
        <v>14</v>
      </c>
      <c r="E108" s="21">
        <v>15</v>
      </c>
      <c r="F108" s="17" t="s">
        <v>95</v>
      </c>
      <c r="G108" s="17" t="s">
        <v>96</v>
      </c>
      <c r="H108" s="17" t="s">
        <v>97</v>
      </c>
      <c r="I108" s="15">
        <v>320</v>
      </c>
      <c r="J108" s="15">
        <f t="shared" si="3"/>
        <v>4800</v>
      </c>
      <c r="K108" s="6"/>
    </row>
    <row r="109" customHeight="1" outlineLevel="1" spans="1:11">
      <c r="A109" s="21">
        <v>4</v>
      </c>
      <c r="B109" s="27" t="s">
        <v>99</v>
      </c>
      <c r="C109" s="28" t="s">
        <v>100</v>
      </c>
      <c r="D109" s="20" t="s">
        <v>101</v>
      </c>
      <c r="E109" s="21">
        <v>16</v>
      </c>
      <c r="F109" s="17"/>
      <c r="G109" s="17"/>
      <c r="H109" s="17"/>
      <c r="I109" s="15"/>
      <c r="J109" s="15">
        <f t="shared" si="3"/>
        <v>0</v>
      </c>
      <c r="K109" s="6"/>
    </row>
    <row r="110" customHeight="1" outlineLevel="1" spans="1:11">
      <c r="A110" s="21">
        <v>5</v>
      </c>
      <c r="B110" s="27" t="s">
        <v>102</v>
      </c>
      <c r="C110" s="27" t="s">
        <v>103</v>
      </c>
      <c r="D110" s="20" t="s">
        <v>104</v>
      </c>
      <c r="E110" s="21">
        <v>2</v>
      </c>
      <c r="F110" s="17"/>
      <c r="G110" s="17"/>
      <c r="H110" s="17"/>
      <c r="I110" s="15">
        <v>230</v>
      </c>
      <c r="J110" s="15">
        <f t="shared" si="3"/>
        <v>460</v>
      </c>
      <c r="K110" s="6"/>
    </row>
    <row r="111" customHeight="1" outlineLevel="1" spans="1:11">
      <c r="A111" s="11"/>
      <c r="B111" s="19" t="s">
        <v>162</v>
      </c>
      <c r="C111" s="11"/>
      <c r="D111" s="10"/>
      <c r="E111" s="11"/>
      <c r="F111" s="17"/>
      <c r="G111" s="17"/>
      <c r="H111" s="17"/>
      <c r="I111" s="17"/>
      <c r="J111" s="18">
        <f t="shared" si="3"/>
        <v>0</v>
      </c>
      <c r="K111" s="6"/>
    </row>
    <row r="112" customHeight="1" outlineLevel="1" spans="1:11">
      <c r="A112" s="21">
        <v>1</v>
      </c>
      <c r="B112" s="16" t="s">
        <v>110</v>
      </c>
      <c r="C112" s="19" t="s">
        <v>163</v>
      </c>
      <c r="D112" s="16" t="s">
        <v>14</v>
      </c>
      <c r="E112" s="21">
        <v>1</v>
      </c>
      <c r="F112" s="17" t="s">
        <v>112</v>
      </c>
      <c r="G112" s="17" t="s">
        <v>113</v>
      </c>
      <c r="H112" s="17" t="s">
        <v>114</v>
      </c>
      <c r="I112" s="15">
        <v>5660</v>
      </c>
      <c r="J112" s="15">
        <f t="shared" si="3"/>
        <v>5660</v>
      </c>
      <c r="K112" s="6"/>
    </row>
    <row r="113" customHeight="1" outlineLevel="1" spans="1:11">
      <c r="A113" s="21">
        <v>2</v>
      </c>
      <c r="B113" s="16" t="s">
        <v>115</v>
      </c>
      <c r="C113" s="19" t="s">
        <v>116</v>
      </c>
      <c r="D113" s="16" t="s">
        <v>55</v>
      </c>
      <c r="E113" s="21">
        <v>1</v>
      </c>
      <c r="F113" s="17" t="s">
        <v>117</v>
      </c>
      <c r="G113" s="17" t="s">
        <v>118</v>
      </c>
      <c r="H113" s="17" t="s">
        <v>119</v>
      </c>
      <c r="I113" s="15">
        <v>3000</v>
      </c>
      <c r="J113" s="15">
        <f t="shared" si="3"/>
        <v>3000</v>
      </c>
      <c r="K113" s="6"/>
    </row>
    <row r="114" customHeight="1" outlineLevel="1" spans="1:11">
      <c r="A114" s="21">
        <v>3</v>
      </c>
      <c r="B114" s="16" t="s">
        <v>120</v>
      </c>
      <c r="C114" s="19" t="s">
        <v>164</v>
      </c>
      <c r="D114" s="16" t="s">
        <v>14</v>
      </c>
      <c r="E114" s="21">
        <v>1</v>
      </c>
      <c r="F114" s="17" t="s">
        <v>122</v>
      </c>
      <c r="G114" s="17" t="s">
        <v>123</v>
      </c>
      <c r="H114" s="17" t="s">
        <v>124</v>
      </c>
      <c r="I114" s="15">
        <v>1800</v>
      </c>
      <c r="J114" s="15">
        <f t="shared" si="3"/>
        <v>1800</v>
      </c>
      <c r="K114" s="6"/>
    </row>
    <row r="115" customHeight="1" outlineLevel="1" spans="1:11">
      <c r="A115" s="21">
        <v>4</v>
      </c>
      <c r="B115" s="16" t="s">
        <v>125</v>
      </c>
      <c r="C115" s="19" t="s">
        <v>126</v>
      </c>
      <c r="D115" s="16" t="s">
        <v>14</v>
      </c>
      <c r="E115" s="21">
        <v>1</v>
      </c>
      <c r="F115" s="17" t="s">
        <v>127</v>
      </c>
      <c r="G115" s="17" t="s">
        <v>128</v>
      </c>
      <c r="H115" s="17" t="s">
        <v>124</v>
      </c>
      <c r="I115" s="15">
        <v>1800</v>
      </c>
      <c r="J115" s="15">
        <f t="shared" si="3"/>
        <v>1800</v>
      </c>
      <c r="K115" s="6"/>
    </row>
    <row r="116" customHeight="1" outlineLevel="1" spans="1:11">
      <c r="A116" s="21">
        <v>5</v>
      </c>
      <c r="B116" s="16" t="s">
        <v>129</v>
      </c>
      <c r="C116" s="19" t="s">
        <v>130</v>
      </c>
      <c r="D116" s="16" t="s">
        <v>14</v>
      </c>
      <c r="E116" s="21">
        <v>1</v>
      </c>
      <c r="F116" s="17"/>
      <c r="G116" s="17"/>
      <c r="H116" s="17"/>
      <c r="I116" s="15">
        <v>0</v>
      </c>
      <c r="J116" s="15">
        <f t="shared" si="3"/>
        <v>0</v>
      </c>
      <c r="K116" s="6"/>
    </row>
    <row r="117" ht="37" customHeight="1" outlineLevel="1" spans="1:11">
      <c r="A117" s="21">
        <v>6</v>
      </c>
      <c r="B117" s="16" t="s">
        <v>131</v>
      </c>
      <c r="C117" s="19" t="s">
        <v>132</v>
      </c>
      <c r="D117" s="16" t="s">
        <v>55</v>
      </c>
      <c r="E117" s="21">
        <v>16</v>
      </c>
      <c r="F117" s="17" t="s">
        <v>133</v>
      </c>
      <c r="G117" s="17" t="s">
        <v>134</v>
      </c>
      <c r="H117" s="17" t="s">
        <v>135</v>
      </c>
      <c r="I117" s="15">
        <v>390</v>
      </c>
      <c r="J117" s="15">
        <f t="shared" si="3"/>
        <v>6240</v>
      </c>
      <c r="K117" s="6"/>
    </row>
    <row r="118" ht="37" customHeight="1" outlineLevel="1" spans="1:11">
      <c r="A118" s="21"/>
      <c r="B118" s="16" t="s">
        <v>165</v>
      </c>
      <c r="C118" s="19"/>
      <c r="D118" s="16"/>
      <c r="E118" s="21">
        <v>16</v>
      </c>
      <c r="F118" s="17" t="s">
        <v>137</v>
      </c>
      <c r="G118" s="17" t="s">
        <v>138</v>
      </c>
      <c r="H118" s="17" t="s">
        <v>139</v>
      </c>
      <c r="I118" s="15">
        <v>1350</v>
      </c>
      <c r="J118" s="15">
        <f t="shared" si="3"/>
        <v>21600</v>
      </c>
      <c r="K118" s="6"/>
    </row>
    <row r="119" customHeight="1" outlineLevel="1" spans="1:11">
      <c r="A119" s="21">
        <v>7</v>
      </c>
      <c r="B119" s="16" t="s">
        <v>140</v>
      </c>
      <c r="C119" s="19" t="s">
        <v>141</v>
      </c>
      <c r="D119" s="16" t="s">
        <v>14</v>
      </c>
      <c r="E119" s="21">
        <v>16</v>
      </c>
      <c r="F119" s="17" t="s">
        <v>142</v>
      </c>
      <c r="G119" s="17" t="s">
        <v>143</v>
      </c>
      <c r="H119" s="17" t="s">
        <v>144</v>
      </c>
      <c r="I119" s="15">
        <v>2350</v>
      </c>
      <c r="J119" s="15">
        <f t="shared" si="3"/>
        <v>37600</v>
      </c>
      <c r="K119" s="6"/>
    </row>
    <row r="120" customHeight="1" outlineLevel="1" spans="1:11">
      <c r="A120" s="11"/>
      <c r="B120" s="19" t="s">
        <v>34</v>
      </c>
      <c r="C120" s="11"/>
      <c r="D120" s="10"/>
      <c r="E120" s="11"/>
      <c r="F120" s="17"/>
      <c r="G120" s="17"/>
      <c r="H120" s="17"/>
      <c r="I120" s="17"/>
      <c r="J120" s="18">
        <f t="shared" si="3"/>
        <v>0</v>
      </c>
      <c r="K120" s="6"/>
    </row>
    <row r="121" customHeight="1" outlineLevel="1" spans="1:11">
      <c r="A121" s="21">
        <v>1</v>
      </c>
      <c r="B121" s="19" t="s">
        <v>35</v>
      </c>
      <c r="C121" s="23" t="s">
        <v>158</v>
      </c>
      <c r="D121" s="20" t="s">
        <v>14</v>
      </c>
      <c r="E121" s="21">
        <v>1</v>
      </c>
      <c r="F121" s="13" t="s">
        <v>37</v>
      </c>
      <c r="G121" s="24" t="s">
        <v>38</v>
      </c>
      <c r="H121" s="13" t="s">
        <v>39</v>
      </c>
      <c r="I121" s="15">
        <v>5060</v>
      </c>
      <c r="J121" s="15">
        <f t="shared" si="3"/>
        <v>5060</v>
      </c>
      <c r="K121" s="6"/>
    </row>
    <row r="122" customHeight="1" outlineLevel="1" spans="1:11">
      <c r="A122" s="21">
        <v>2</v>
      </c>
      <c r="B122" s="19" t="s">
        <v>40</v>
      </c>
      <c r="C122" s="23" t="s">
        <v>150</v>
      </c>
      <c r="D122" s="20" t="s">
        <v>42</v>
      </c>
      <c r="E122" s="21">
        <v>2</v>
      </c>
      <c r="F122" s="13" t="s">
        <v>43</v>
      </c>
      <c r="G122" s="24" t="s">
        <v>44</v>
      </c>
      <c r="H122" s="14" t="s">
        <v>45</v>
      </c>
      <c r="I122" s="15">
        <v>820</v>
      </c>
      <c r="J122" s="15">
        <f t="shared" si="3"/>
        <v>1640</v>
      </c>
      <c r="K122" s="6"/>
    </row>
    <row r="123" customHeight="1" outlineLevel="1" spans="1:11">
      <c r="A123" s="21">
        <v>3</v>
      </c>
      <c r="B123" s="19" t="s">
        <v>46</v>
      </c>
      <c r="C123" s="23" t="s">
        <v>151</v>
      </c>
      <c r="D123" s="20" t="s">
        <v>42</v>
      </c>
      <c r="E123" s="21">
        <v>2</v>
      </c>
      <c r="F123" s="13" t="s">
        <v>43</v>
      </c>
      <c r="G123" s="24" t="s">
        <v>44</v>
      </c>
      <c r="H123" s="14" t="s">
        <v>45</v>
      </c>
      <c r="I123" s="15">
        <v>820</v>
      </c>
      <c r="J123" s="15">
        <f t="shared" si="3"/>
        <v>1640</v>
      </c>
      <c r="K123" s="6"/>
    </row>
    <row r="124" customHeight="1" outlineLevel="1" spans="1:11">
      <c r="A124" s="21">
        <v>4</v>
      </c>
      <c r="B124" s="19" t="s">
        <v>48</v>
      </c>
      <c r="C124" s="19" t="s">
        <v>49</v>
      </c>
      <c r="D124" s="19" t="s">
        <v>14</v>
      </c>
      <c r="E124" s="4">
        <v>1</v>
      </c>
      <c r="F124" s="13" t="s">
        <v>50</v>
      </c>
      <c r="G124" s="24" t="s">
        <v>51</v>
      </c>
      <c r="H124" s="13" t="s">
        <v>52</v>
      </c>
      <c r="I124" s="15">
        <v>1620</v>
      </c>
      <c r="J124" s="15">
        <f t="shared" si="3"/>
        <v>1620</v>
      </c>
      <c r="K124" s="6"/>
    </row>
    <row r="125" customHeight="1" outlineLevel="1" spans="1:11">
      <c r="A125" s="21">
        <v>5</v>
      </c>
      <c r="B125" s="19" t="s">
        <v>53</v>
      </c>
      <c r="C125" s="19" t="s">
        <v>54</v>
      </c>
      <c r="D125" s="19" t="s">
        <v>55</v>
      </c>
      <c r="E125" s="4">
        <v>1</v>
      </c>
      <c r="F125" s="25"/>
      <c r="G125" s="25" t="s">
        <v>56</v>
      </c>
      <c r="H125" s="25"/>
      <c r="I125" s="15">
        <v>5000</v>
      </c>
      <c r="J125" s="15">
        <f t="shared" si="3"/>
        <v>5000</v>
      </c>
      <c r="K125" s="6"/>
    </row>
    <row r="126" customHeight="1" outlineLevel="1" spans="1:11">
      <c r="A126" s="21">
        <v>6</v>
      </c>
      <c r="B126" s="19" t="s">
        <v>57</v>
      </c>
      <c r="C126" s="19" t="s">
        <v>58</v>
      </c>
      <c r="D126" s="19" t="s">
        <v>55</v>
      </c>
      <c r="E126" s="4">
        <v>1</v>
      </c>
      <c r="F126" s="25"/>
      <c r="G126" s="25" t="s">
        <v>56</v>
      </c>
      <c r="H126" s="25"/>
      <c r="I126" s="15">
        <v>5000</v>
      </c>
      <c r="J126" s="15">
        <f t="shared" si="3"/>
        <v>5000</v>
      </c>
      <c r="K126" s="6"/>
    </row>
    <row r="127" customHeight="1" outlineLevel="1" spans="1:11">
      <c r="A127" s="21">
        <v>7</v>
      </c>
      <c r="B127" s="19" t="s">
        <v>59</v>
      </c>
      <c r="C127" s="19" t="s">
        <v>60</v>
      </c>
      <c r="D127" s="19" t="s">
        <v>55</v>
      </c>
      <c r="E127" s="4">
        <v>1</v>
      </c>
      <c r="F127" s="25"/>
      <c r="G127" s="25" t="s">
        <v>56</v>
      </c>
      <c r="H127" s="25"/>
      <c r="I127" s="15">
        <v>5000</v>
      </c>
      <c r="J127" s="15">
        <f t="shared" si="3"/>
        <v>5000</v>
      </c>
      <c r="K127" s="6"/>
    </row>
    <row r="128" customHeight="1" outlineLevel="1" spans="1:11">
      <c r="A128" s="21">
        <v>8</v>
      </c>
      <c r="B128" s="19" t="s">
        <v>61</v>
      </c>
      <c r="C128" s="23" t="s">
        <v>62</v>
      </c>
      <c r="D128" s="19" t="s">
        <v>63</v>
      </c>
      <c r="E128" s="4">
        <v>1</v>
      </c>
      <c r="F128" s="13" t="s">
        <v>64</v>
      </c>
      <c r="G128" s="12" t="s">
        <v>65</v>
      </c>
      <c r="H128" s="26" t="s">
        <v>66</v>
      </c>
      <c r="I128" s="15">
        <v>1520</v>
      </c>
      <c r="J128" s="15">
        <f t="shared" si="3"/>
        <v>1520</v>
      </c>
      <c r="K128" s="6"/>
    </row>
    <row r="129" customHeight="1" outlineLevel="1" spans="1:11">
      <c r="A129" s="21">
        <v>9</v>
      </c>
      <c r="B129" s="19" t="s">
        <v>72</v>
      </c>
      <c r="C129" s="19" t="s">
        <v>73</v>
      </c>
      <c r="D129" s="19" t="s">
        <v>14</v>
      </c>
      <c r="E129" s="4">
        <v>1</v>
      </c>
      <c r="F129" s="13" t="s">
        <v>74</v>
      </c>
      <c r="G129" s="12" t="s">
        <v>75</v>
      </c>
      <c r="H129" s="14" t="s">
        <v>76</v>
      </c>
      <c r="I129" s="15">
        <v>998</v>
      </c>
      <c r="J129" s="15">
        <f t="shared" si="3"/>
        <v>998</v>
      </c>
      <c r="K129" s="6"/>
    </row>
    <row r="130" customHeight="1" outlineLevel="1" spans="1:11">
      <c r="A130" s="21">
        <v>10</v>
      </c>
      <c r="B130" s="19" t="s">
        <v>77</v>
      </c>
      <c r="C130" s="9" t="s">
        <v>78</v>
      </c>
      <c r="D130" s="10" t="s">
        <v>14</v>
      </c>
      <c r="E130" s="11">
        <v>2</v>
      </c>
      <c r="F130" s="13" t="s">
        <v>79</v>
      </c>
      <c r="G130" s="12" t="s">
        <v>80</v>
      </c>
      <c r="H130" s="14" t="s">
        <v>81</v>
      </c>
      <c r="I130" s="15">
        <v>2040</v>
      </c>
      <c r="J130" s="15">
        <f t="shared" si="3"/>
        <v>4080</v>
      </c>
      <c r="K130" s="6"/>
    </row>
    <row r="131" customHeight="1" outlineLevel="1" spans="1:11">
      <c r="A131" s="21">
        <v>11</v>
      </c>
      <c r="B131" s="19" t="s">
        <v>82</v>
      </c>
      <c r="C131" s="19" t="s">
        <v>166</v>
      </c>
      <c r="D131" s="19" t="s">
        <v>14</v>
      </c>
      <c r="E131" s="4">
        <v>1</v>
      </c>
      <c r="F131" s="17"/>
      <c r="G131" s="17"/>
      <c r="H131" s="17"/>
      <c r="I131" s="35"/>
      <c r="J131" s="36">
        <f t="shared" si="3"/>
        <v>0</v>
      </c>
      <c r="K131" s="6"/>
    </row>
    <row r="132" customHeight="1" outlineLevel="1" spans="1:11">
      <c r="A132" s="21">
        <v>12</v>
      </c>
      <c r="B132" s="19" t="s">
        <v>84</v>
      </c>
      <c r="C132" s="19" t="s">
        <v>85</v>
      </c>
      <c r="D132" s="19" t="s">
        <v>14</v>
      </c>
      <c r="E132" s="4">
        <v>1</v>
      </c>
      <c r="F132" s="17"/>
      <c r="G132" s="17"/>
      <c r="H132" s="17"/>
      <c r="I132" s="34"/>
      <c r="J132" s="37">
        <f t="shared" si="3"/>
        <v>0</v>
      </c>
      <c r="K132" s="6"/>
    </row>
    <row r="133" customHeight="1" outlineLevel="1" spans="1:11">
      <c r="A133" s="10" t="s">
        <v>167</v>
      </c>
      <c r="B133" s="10"/>
      <c r="C133" s="19"/>
      <c r="D133" s="10"/>
      <c r="E133" s="4"/>
      <c r="F133" s="17"/>
      <c r="G133" s="17"/>
      <c r="H133" s="17"/>
      <c r="I133" s="34"/>
      <c r="J133" s="37">
        <f t="shared" si="3"/>
        <v>0</v>
      </c>
      <c r="K133" s="6"/>
    </row>
    <row r="134" customHeight="1" outlineLevel="1" spans="1:11">
      <c r="A134" s="10" t="s">
        <v>168</v>
      </c>
      <c r="B134" s="10"/>
      <c r="C134" s="4"/>
      <c r="D134" s="10"/>
      <c r="E134" s="4"/>
      <c r="F134" s="17"/>
      <c r="G134" s="17"/>
      <c r="H134" s="17"/>
      <c r="I134" s="38"/>
      <c r="J134" s="39">
        <f t="shared" si="3"/>
        <v>0</v>
      </c>
      <c r="K134" s="6"/>
    </row>
    <row r="135" customHeight="1" outlineLevel="1" spans="1:11">
      <c r="A135" s="7">
        <v>1</v>
      </c>
      <c r="B135" s="8" t="s">
        <v>169</v>
      </c>
      <c r="C135" s="40" t="s">
        <v>170</v>
      </c>
      <c r="D135" s="8" t="s">
        <v>55</v>
      </c>
      <c r="E135" s="7">
        <v>1</v>
      </c>
      <c r="F135" s="41" t="s">
        <v>171</v>
      </c>
      <c r="G135" s="41" t="s">
        <v>172</v>
      </c>
      <c r="H135" s="42" t="s">
        <v>173</v>
      </c>
      <c r="I135" s="15">
        <v>6500</v>
      </c>
      <c r="J135" s="15">
        <f t="shared" si="3"/>
        <v>6500</v>
      </c>
      <c r="K135" s="6"/>
    </row>
    <row r="136" customHeight="1" outlineLevel="1" spans="1:11">
      <c r="A136" s="7">
        <v>2</v>
      </c>
      <c r="B136" s="8" t="s">
        <v>174</v>
      </c>
      <c r="C136" s="40" t="s">
        <v>175</v>
      </c>
      <c r="D136" s="8" t="s">
        <v>55</v>
      </c>
      <c r="E136" s="7">
        <v>1</v>
      </c>
      <c r="F136" s="13" t="s">
        <v>176</v>
      </c>
      <c r="G136" s="24" t="s">
        <v>177</v>
      </c>
      <c r="H136" s="14" t="s">
        <v>178</v>
      </c>
      <c r="I136" s="15">
        <v>3000</v>
      </c>
      <c r="J136" s="15">
        <f t="shared" si="3"/>
        <v>3000</v>
      </c>
      <c r="K136" s="6"/>
    </row>
    <row r="137" customHeight="1" outlineLevel="1" spans="1:11">
      <c r="A137" s="7">
        <v>3</v>
      </c>
      <c r="B137" s="19" t="s">
        <v>179</v>
      </c>
      <c r="C137" s="8" t="s">
        <v>180</v>
      </c>
      <c r="D137" s="19" t="s">
        <v>55</v>
      </c>
      <c r="E137" s="4">
        <v>1</v>
      </c>
      <c r="F137" s="24" t="s">
        <v>181</v>
      </c>
      <c r="G137" s="43" t="s">
        <v>182</v>
      </c>
      <c r="H137" s="14" t="s">
        <v>183</v>
      </c>
      <c r="I137" s="15">
        <v>48000</v>
      </c>
      <c r="J137" s="15">
        <f t="shared" si="3"/>
        <v>48000</v>
      </c>
      <c r="K137" s="6"/>
    </row>
    <row r="138" customHeight="1" outlineLevel="1" spans="1:11">
      <c r="A138" s="7">
        <v>4</v>
      </c>
      <c r="B138" s="19" t="s">
        <v>184</v>
      </c>
      <c r="C138" s="8" t="s">
        <v>185</v>
      </c>
      <c r="D138" s="19" t="s">
        <v>55</v>
      </c>
      <c r="E138" s="4">
        <v>1</v>
      </c>
      <c r="F138" s="25"/>
      <c r="G138" s="25" t="s">
        <v>56</v>
      </c>
      <c r="H138" s="25"/>
      <c r="I138" s="15">
        <v>25000</v>
      </c>
      <c r="J138" s="15">
        <f t="shared" si="3"/>
        <v>25000</v>
      </c>
      <c r="K138" s="6"/>
    </row>
    <row r="139" customHeight="1" outlineLevel="1" spans="1:11">
      <c r="A139" s="7">
        <v>5</v>
      </c>
      <c r="B139" s="19" t="s">
        <v>59</v>
      </c>
      <c r="C139" s="8" t="s">
        <v>186</v>
      </c>
      <c r="D139" s="19" t="s">
        <v>55</v>
      </c>
      <c r="E139" s="4">
        <v>1</v>
      </c>
      <c r="F139" s="25"/>
      <c r="G139" s="25" t="s">
        <v>56</v>
      </c>
      <c r="H139" s="25"/>
      <c r="I139" s="15">
        <v>9000</v>
      </c>
      <c r="J139" s="15">
        <f t="shared" si="3"/>
        <v>9000</v>
      </c>
      <c r="K139" s="6"/>
    </row>
    <row r="140" customHeight="1" outlineLevel="1" spans="1:11">
      <c r="A140" s="7">
        <v>6</v>
      </c>
      <c r="B140" s="19" t="s">
        <v>187</v>
      </c>
      <c r="C140" s="8" t="s">
        <v>188</v>
      </c>
      <c r="D140" s="19" t="s">
        <v>55</v>
      </c>
      <c r="E140" s="4">
        <v>1</v>
      </c>
      <c r="F140" s="25"/>
      <c r="G140" s="25" t="s">
        <v>56</v>
      </c>
      <c r="H140" s="25"/>
      <c r="I140" s="15">
        <v>9000</v>
      </c>
      <c r="J140" s="15">
        <f t="shared" si="3"/>
        <v>9000</v>
      </c>
      <c r="K140" s="6"/>
    </row>
    <row r="141" customHeight="1" outlineLevel="1" spans="1:11">
      <c r="A141" s="7">
        <v>7</v>
      </c>
      <c r="B141" s="19" t="s">
        <v>189</v>
      </c>
      <c r="C141" s="8" t="s">
        <v>190</v>
      </c>
      <c r="D141" s="19" t="s">
        <v>55</v>
      </c>
      <c r="E141" s="4">
        <v>1</v>
      </c>
      <c r="F141" s="25"/>
      <c r="G141" s="25" t="s">
        <v>56</v>
      </c>
      <c r="H141" s="25"/>
      <c r="I141" s="15">
        <v>25000</v>
      </c>
      <c r="J141" s="15">
        <f t="shared" si="3"/>
        <v>25000</v>
      </c>
      <c r="K141" s="6"/>
    </row>
    <row r="142" customHeight="1" outlineLevel="1" spans="1:11">
      <c r="A142" s="7">
        <v>8</v>
      </c>
      <c r="B142" s="19" t="s">
        <v>191</v>
      </c>
      <c r="C142" s="8" t="s">
        <v>192</v>
      </c>
      <c r="D142" s="19" t="s">
        <v>14</v>
      </c>
      <c r="E142" s="4">
        <v>1</v>
      </c>
      <c r="F142" s="24" t="s">
        <v>193</v>
      </c>
      <c r="G142" s="43" t="s">
        <v>194</v>
      </c>
      <c r="H142" s="44" t="s">
        <v>195</v>
      </c>
      <c r="I142" s="15">
        <v>39300</v>
      </c>
      <c r="J142" s="15">
        <f t="shared" si="3"/>
        <v>39300</v>
      </c>
      <c r="K142" s="6"/>
    </row>
    <row r="143" customHeight="1" outlineLevel="1" spans="1:11">
      <c r="A143" s="11" t="s">
        <v>196</v>
      </c>
      <c r="B143" s="19"/>
      <c r="C143" s="11"/>
      <c r="D143" s="10"/>
      <c r="E143" s="11"/>
      <c r="F143" s="17"/>
      <c r="G143" s="17"/>
      <c r="H143" s="17"/>
      <c r="I143" s="17"/>
      <c r="J143" s="18">
        <f t="shared" si="3"/>
        <v>0</v>
      </c>
      <c r="K143" s="6"/>
    </row>
    <row r="144" customHeight="1" outlineLevel="1" spans="1:11">
      <c r="A144" s="7">
        <v>6</v>
      </c>
      <c r="B144" s="8" t="s">
        <v>12</v>
      </c>
      <c r="C144" s="9" t="s">
        <v>13</v>
      </c>
      <c r="D144" s="10" t="s">
        <v>14</v>
      </c>
      <c r="E144" s="11">
        <v>1</v>
      </c>
      <c r="F144" s="12" t="s">
        <v>15</v>
      </c>
      <c r="G144" s="13" t="s">
        <v>16</v>
      </c>
      <c r="H144" s="14" t="s">
        <v>17</v>
      </c>
      <c r="I144" s="15">
        <v>903</v>
      </c>
      <c r="J144" s="15">
        <f t="shared" si="3"/>
        <v>903</v>
      </c>
      <c r="K144" s="6"/>
    </row>
    <row r="145" customHeight="1" outlineLevel="1" spans="1:11">
      <c r="A145" s="11" t="s">
        <v>197</v>
      </c>
      <c r="B145" s="19"/>
      <c r="C145" s="10"/>
      <c r="D145" s="10"/>
      <c r="E145" s="11"/>
      <c r="F145" s="17"/>
      <c r="G145" s="17"/>
      <c r="H145" s="17"/>
      <c r="I145" s="17"/>
      <c r="J145" s="18">
        <f t="shared" si="3"/>
        <v>0</v>
      </c>
      <c r="K145" s="6"/>
    </row>
    <row r="146" customHeight="1" outlineLevel="1" spans="1:11">
      <c r="A146" s="7">
        <v>4</v>
      </c>
      <c r="B146" s="8" t="s">
        <v>12</v>
      </c>
      <c r="C146" s="9" t="s">
        <v>13</v>
      </c>
      <c r="D146" s="10" t="s">
        <v>14</v>
      </c>
      <c r="E146" s="11">
        <v>1</v>
      </c>
      <c r="F146" s="12" t="s">
        <v>15</v>
      </c>
      <c r="G146" s="13" t="s">
        <v>16</v>
      </c>
      <c r="H146" s="14" t="s">
        <v>17</v>
      </c>
      <c r="I146" s="15">
        <v>903</v>
      </c>
      <c r="J146" s="15">
        <f t="shared" si="3"/>
        <v>903</v>
      </c>
      <c r="K146" s="6"/>
    </row>
    <row r="147" customHeight="1" spans="1:11">
      <c r="B147" s="4" t="s">
        <v>198</v>
      </c>
      <c r="J147" s="3">
        <f>SUM(J3:J146)</f>
        <v>555936</v>
      </c>
    </row>
  </sheetData>
  <autoFilter xmlns:etc="http://www.wps.cn/officeDocument/2017/etCustomData" ref="A2:K147" etc:filterBottomFollowUsedRange="0">
    <extLst/>
  </autoFilter>
  <mergeCells count="11">
    <mergeCell ref="A1:K1"/>
    <mergeCell ref="A14:B14"/>
    <mergeCell ref="A17:B17"/>
    <mergeCell ref="A21:B21"/>
    <mergeCell ref="A36:B36"/>
    <mergeCell ref="A70:B70"/>
    <mergeCell ref="A87:B87"/>
    <mergeCell ref="A90:B90"/>
    <mergeCell ref="A104:B104"/>
    <mergeCell ref="A133:B133"/>
    <mergeCell ref="A134:B134"/>
  </mergeCells>
  <pageMargins left="0.7" right="0.7" top="0.75" bottom="0.75" header="0.3" footer="0.3"/>
  <pageSetup paperSize="9" scale="51" orientation="portrait"/>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会议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翠 马</dc:creator>
  <cp:lastModifiedBy>A航天广电张晓峰18970911031</cp:lastModifiedBy>
  <dcterms:created xsi:type="dcterms:W3CDTF">2026-04-29T00:50:00Z</dcterms:created>
  <dcterms:modified xsi:type="dcterms:W3CDTF">2026-07-29T05:40:19Z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D22ECC5D8EEF4F60B35A4676BA20900F_13</vt:lpwstr>
  </property>
  <property fmtid="{D5CDD505-2E9C-101B-9397-08002B2CF9AE}" pid="3" name="KSOProductBuildVer">
    <vt:lpwstr>2052-12.1.0.26375</vt:lpwstr>
  </property>
  <property fmtid="{D5CDD505-2E9C-101B-9397-08002B2CF9AE}" pid="4" name="CalculationRule">
    <vt:i4>0</vt:i4>
  </property>
</Properties>
</file>